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5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6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7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drawings/drawing8.xml" ContentType="application/vnd.openxmlformats-officedocument.drawing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drawings/drawing9.xml" ContentType="application/vnd.openxmlformats-officedocument.drawing+xml"/>
  <Override PartName="/xl/charts/chart10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45" windowWidth="13860" windowHeight="13440" tabRatio="566"/>
  </bookViews>
  <sheets>
    <sheet name="raw_data" sheetId="1" r:id="rId1"/>
    <sheet name="Sensor 1" sheetId="2" r:id="rId2"/>
    <sheet name="Sensor 2" sheetId="4" r:id="rId3"/>
    <sheet name="Sensor 3" sheetId="5" r:id="rId4"/>
    <sheet name="Sensor 4" sheetId="10" r:id="rId5"/>
    <sheet name="Sensor 5" sheetId="9" r:id="rId6"/>
    <sheet name="Sensor 6" sheetId="8" r:id="rId7"/>
    <sheet name="Sensor 7" sheetId="7" r:id="rId8"/>
    <sheet name="Sensor 8" sheetId="6" r:id="rId9"/>
    <sheet name="averaged line fit" sheetId="3" r:id="rId10"/>
  </sheets>
  <definedNames>
    <definedName name="_xlnm._FilterDatabase" localSheetId="0" hidden="1">raw_data!$A$1:$F$1</definedName>
    <definedName name="x_s1_c1">'Sensor 1'!$CF$5:$CF$16</definedName>
    <definedName name="x_s1_c10">'Sensor 1'!$AM$5:$AM$16</definedName>
    <definedName name="x_s1_c11">'Sensor 1'!$AH$5:$AH$16</definedName>
    <definedName name="x_s1_c12">'Sensor 1'!$AC$5:$AC$15</definedName>
    <definedName name="x_s1_c2">'Sensor 1'!$CA$5:$CA$16</definedName>
    <definedName name="x_s1_c3">'Sensor 1'!$BV$5:$BV$15</definedName>
    <definedName name="x_s1_c4">'Sensor 1'!$BQ$5:$BQ$15</definedName>
    <definedName name="x_s1_c5">'Sensor 1'!$BL$5:$BL$16</definedName>
    <definedName name="x_s1_c6">'Sensor 1'!$BG$5:$BG$16</definedName>
    <definedName name="x_s1_c7">'Sensor 1'!$BB$5:$BB$16</definedName>
    <definedName name="x_s1_c8">'Sensor 1'!$AW$5:$AW$16</definedName>
    <definedName name="x_s1_c9">'Sensor 1'!$AR$5:$AR$16</definedName>
    <definedName name="x_s2_c1">'Sensor 2'!$CF$5:$CF$12</definedName>
    <definedName name="x_s2_c10">'Sensor 2'!$AM$5:$AM$12</definedName>
    <definedName name="x_s2_c11">'Sensor 2'!$AH$5:$AH$12</definedName>
    <definedName name="x_s2_c12">'Sensor 2'!$AC$5:$AC$13</definedName>
    <definedName name="x_s2_c2">'Sensor 2'!$CA$5:$CA$12</definedName>
    <definedName name="x_s2_c3">'Sensor 2'!$BV$5:$BV$12</definedName>
    <definedName name="x_s2_c4">'Sensor 2'!$BQ$5:$BQ$12</definedName>
    <definedName name="x_s2_c5">'Sensor 2'!$BL$5:$BL$12</definedName>
    <definedName name="x_s2_c6">'Sensor 2'!$BG$5:$BG$12</definedName>
    <definedName name="x_s2_c7">'Sensor 2'!$BB$5:$BB$11</definedName>
    <definedName name="x_s2_c8">'Sensor 2'!$AW$5:$AW$11</definedName>
    <definedName name="x_s2_c9">'Sensor 2'!$AR$5:$AR$12</definedName>
    <definedName name="x_s3_c1">'Sensor 3'!$BS$5:$BS$11</definedName>
    <definedName name="x_s3_c10">'Sensor 3'!$AI$5:$AI$11</definedName>
    <definedName name="x_s3_c11">'Sensor 3'!$AE$5:$AE$11</definedName>
    <definedName name="x_s3_c12">'Sensor 3'!$AA$5:$AA$12</definedName>
    <definedName name="x_s3_c2">'Sensor 3'!$BO$5:$BO$11</definedName>
    <definedName name="x_s3_c3">'Sensor 3'!$BK$5:$BK$11</definedName>
    <definedName name="x_s3_c4">'Sensor 3'!$BG$5:$BG$10</definedName>
    <definedName name="x_s3_c5">'Sensor 3'!$BC$5:$BC$10</definedName>
    <definedName name="x_s3_c6">'Sensor 3'!$AY$5:$AY$11</definedName>
    <definedName name="x_s3_c7">'Sensor 3'!$AU$5:$AU$11</definedName>
    <definedName name="x_s3_c8">'Sensor 3'!$AQ$5:$AQ$11</definedName>
    <definedName name="x_s3_c9">'Sensor 3'!$AM$5:$AM$11</definedName>
    <definedName name="x_s4_c1">'Sensor 4'!$BS$5:$BS$12</definedName>
    <definedName name="x_s4_c10">'Sensor 4'!$AI$5:$AI$11</definedName>
    <definedName name="x_s4_c11">'Sensor 4'!$AE$5:$AE$12</definedName>
    <definedName name="x_s4_c12">'Sensor 4'!$AA$5:$AA$13</definedName>
    <definedName name="x_s4_c2">'Sensor 4'!$BO$5:$BO$12</definedName>
    <definedName name="x_s4_c3">'Sensor 4'!$BK$5:$BK$12</definedName>
    <definedName name="x_s4_c4">'Sensor 4'!$BG$5:$BG$12</definedName>
    <definedName name="x_s4_c5">'Sensor 4'!$BC$5:$BC$12</definedName>
    <definedName name="x_s4_c6">'Sensor 4'!$AY$5:$AY$12</definedName>
    <definedName name="x_s4_c7">'Sensor 4'!$AU$5:$AU$11</definedName>
    <definedName name="x_s4_c8">'Sensor 4'!$AQ$5:$AQ$11</definedName>
    <definedName name="x_s4_c9">'Sensor 4'!$AM$5:$AM$11</definedName>
    <definedName name="x_s5_c1">'Sensor 5'!$BS$5:$BS$11</definedName>
    <definedName name="x_s5_c10">'Sensor 5'!$AI$5:$AI$11</definedName>
    <definedName name="x_s5_c11">'Sensor 5'!$AE$5:$AE$11</definedName>
    <definedName name="x_s5_c12">'Sensor 5'!$AA$5:$AA$11</definedName>
    <definedName name="x_s5_c2">'Sensor 5'!$BO$5:$BO$11</definedName>
    <definedName name="x_s5_c3">'Sensor 5'!$BK$5:$BK$11</definedName>
    <definedName name="x_s5_c4">'Sensor 5'!$BG$5:$BG$11</definedName>
    <definedName name="x_s5_c5">'Sensor 5'!$BC$5:$BC$11</definedName>
    <definedName name="x_s5_c6">'Sensor 5'!$AY$5:$AY$11</definedName>
    <definedName name="x_s5_c7">'Sensor 5'!$AU$5:$AU$11</definedName>
    <definedName name="x_s5_c8">'Sensor 5'!$AQ$5:$AQ$11</definedName>
    <definedName name="x_s5_c9">'Sensor 5'!$AM$5:$AM$11</definedName>
    <definedName name="x_s6_c1">'Sensor 6'!$BS$5:$BS$11</definedName>
    <definedName name="x_s6_c10">'Sensor 6'!$AI$5:$AI$11</definedName>
    <definedName name="x_s6_c11">'Sensor 6'!$AE$5:$AE$11</definedName>
    <definedName name="x_s6_c12">'Sensor 6'!$AA$5:$AA$11</definedName>
    <definedName name="x_s6_c2">'Sensor 6'!$BO$5:$BO$11</definedName>
    <definedName name="x_s6_c3">'Sensor 6'!$BK$5:$BK$11</definedName>
    <definedName name="x_s6_c4">'Sensor 6'!$BG$5:$BG$11</definedName>
    <definedName name="x_s6_c5">'Sensor 6'!$BC$5:$BC$11</definedName>
    <definedName name="x_s6_c6">'Sensor 6'!$AY$5:$AY$12</definedName>
    <definedName name="x_s6_c7">'Sensor 6'!$AU$5:$AU$12</definedName>
    <definedName name="x_s6_c8">'Sensor 6'!$AQ$5:$AQ$12</definedName>
    <definedName name="x_s6_c9">'Sensor 6'!$AM$5:$AM$11</definedName>
    <definedName name="x_s7_c1">'Sensor 7'!$BS$5:$BS$14</definedName>
    <definedName name="x_s7_c10">'Sensor 7'!$AI$5:$AI$14</definedName>
    <definedName name="x_s7_c11">'Sensor 7'!$AE$5:$AE$14</definedName>
    <definedName name="x_s7_c12">'Sensor 7'!$AA$5:$AA$14</definedName>
    <definedName name="x_s7_c2">'Sensor 7'!$BO$5:$BO$14</definedName>
    <definedName name="x_s7_c3">'Sensor 7'!$BK$5:$BK$13</definedName>
    <definedName name="x_s7_c4">'Sensor 7'!$BG$5:$BG$13</definedName>
    <definedName name="x_s7_c5">'Sensor 7'!$BC$5:$BC$14</definedName>
    <definedName name="x_s7_c6">'Sensor 7'!$AY$5:$AY$14</definedName>
    <definedName name="x_s7_c7">'Sensor 7'!$AU$5:$AU$13</definedName>
    <definedName name="x_s7_c8">'Sensor 7'!$AQ$5:$AQ$13</definedName>
    <definedName name="x_s7_c9">'Sensor 7'!$AM$5:$AM$14</definedName>
    <definedName name="x_s8_c1">'Sensor 8'!$BS$5:$BS$13</definedName>
    <definedName name="x_s8_c10">'Sensor 8'!$AI$5:$AI$13</definedName>
    <definedName name="x_s8_c11">'Sensor 8'!$AE$5:$AE$14</definedName>
    <definedName name="x_s8_c12">'Sensor 8'!$AA$5:$AA$14</definedName>
    <definedName name="x_s8_c2">'Sensor 8'!$BO$5:$BO$13</definedName>
    <definedName name="x_s8_c3">'Sensor 8'!$BK$5:$BK$13</definedName>
    <definedName name="x_s8_c4">'Sensor 8'!$BG$5:$BG$13</definedName>
    <definedName name="x_s8_c5">'Sensor 8'!$BC$5:$BC$14</definedName>
    <definedName name="x_s8_c6">'Sensor 8'!$AY$5:$AY$14</definedName>
    <definedName name="x_s8_c7">'Sensor 8'!$AU$5:$AU$14</definedName>
    <definedName name="x_s8_c8">'Sensor 8'!$AQ$5:$AQ$15</definedName>
    <definedName name="x_s8_c9">'Sensor 8'!$AM$5:$AM$13</definedName>
    <definedName name="y_s1_c1">'Sensor 1'!$CG$5:$CG$16</definedName>
    <definedName name="y_s1_c10">'Sensor 1'!$AN$5:$AN$16</definedName>
    <definedName name="y_s1_c11">'Sensor 1'!$AI$5:$AI$16</definedName>
    <definedName name="y_s1_c12">'Sensor 1'!$AD$5:$AD$15</definedName>
    <definedName name="y_s1_c2">'Sensor 1'!$CB$5:$CB$16</definedName>
    <definedName name="y_s1_c3">'Sensor 1'!$BW$5:$BW$15</definedName>
    <definedName name="y_s1_c4">'Sensor 1'!$BR$5:$BR$15</definedName>
    <definedName name="y_s1_c5">'Sensor 1'!$BM$5:$BM$16</definedName>
    <definedName name="y_s1_c6">'Sensor 1'!$BH$5:$BH$16</definedName>
    <definedName name="y_s1_c7">'Sensor 1'!$BC$5:$BC$16</definedName>
    <definedName name="y_s1_c8">'Sensor 1'!$AX$5:$AX$16</definedName>
    <definedName name="y_s1_c9">'Sensor 1'!$AS$5:$AS$16</definedName>
    <definedName name="y_s2_c1">'Sensor 2'!$CG$5:$CG$12</definedName>
    <definedName name="y_s2_c10">'Sensor 2'!$AN$5:$AN$12</definedName>
    <definedName name="y_s2_c11">'Sensor 2'!$AI$5:$AI$12</definedName>
    <definedName name="y_s2_c12">'Sensor 2'!$AD$5:$AD$13</definedName>
    <definedName name="y_s2_c2">'Sensor 2'!$CB$5:$CB$12</definedName>
    <definedName name="y_s2_c3">'Sensor 2'!$BW$5:$BW$12</definedName>
    <definedName name="y_s2_c4">'Sensor 2'!$BR$5:$BR$12</definedName>
    <definedName name="y_s2_c5">'Sensor 2'!$BM$5:$BM$12</definedName>
    <definedName name="y_s2_c6">'Sensor 2'!$BH$5:$BH$12</definedName>
    <definedName name="y_s2_c7">'Sensor 2'!$BC$5:$BC$11</definedName>
    <definedName name="y_s2_c8">'Sensor 2'!$AX$5:$AX$11</definedName>
    <definedName name="y_s2_c9">'Sensor 2'!$AS$5:$AS$12</definedName>
    <definedName name="y_s3_c1">'Sensor 3'!$BT$5:$BT$11</definedName>
    <definedName name="y_s3_c10">'Sensor 3'!$AJ$5:$AJ$11</definedName>
    <definedName name="y_s3_c11">'Sensor 3'!$AF$5:$AF$11</definedName>
    <definedName name="y_s3_c12">'Sensor 3'!$AB$5:$AB$12</definedName>
    <definedName name="y_s3_c2">'Sensor 3'!$BP$5:$BP$11</definedName>
    <definedName name="y_s3_c3">'Sensor 3'!$BL$5:$BL$11</definedName>
    <definedName name="y_s3_c4">'Sensor 3'!$BH$5:$BH$10</definedName>
    <definedName name="y_s3_c5">'Sensor 3'!$BD$5:$BD$10</definedName>
    <definedName name="y_s3_c6">'Sensor 3'!$AZ$5:$AZ$11</definedName>
    <definedName name="y_s3_c7">'Sensor 3'!$AV$5:$AV$11</definedName>
    <definedName name="y_s3_c8">'Sensor 3'!$AR$5:$AR$11</definedName>
    <definedName name="y_s3_c9">'Sensor 3'!$AN$5:$AN$11</definedName>
    <definedName name="y_s4_c1">'Sensor 4'!$BT$5:$BT$12</definedName>
    <definedName name="y_s4_c10">'Sensor 4'!$AJ$5:$AJ$11</definedName>
    <definedName name="y_s4_c11">'Sensor 4'!$AF$5:$AF$12</definedName>
    <definedName name="y_s4_c12">'Sensor 4'!$AB$5:$AB$13</definedName>
    <definedName name="y_s4_c2">'Sensor 4'!$BP$5:$BP$12</definedName>
    <definedName name="y_s4_c3">'Sensor 4'!$BL$5:$BL$12</definedName>
    <definedName name="y_s4_c4">'Sensor 4'!$BH$5:$BH$12</definedName>
    <definedName name="y_s4_c5">'Sensor 4'!$BD$5:$BD$12</definedName>
    <definedName name="y_s4_c6">'Sensor 4'!$AZ$5:$AZ$12</definedName>
    <definedName name="y_s4_c7">'Sensor 4'!$AV$5:$AV$11</definedName>
    <definedName name="y_s4_c8">'Sensor 4'!$AR$5:$AR$11</definedName>
    <definedName name="y_s4_c9">'Sensor 4'!$AN$5:$AN$11</definedName>
    <definedName name="y_s5_c1">'Sensor 5'!$BT$5:$BT$11</definedName>
    <definedName name="y_s5_c10">'Sensor 5'!$AJ$5:$AJ$11</definedName>
    <definedName name="y_s5_c11">'Sensor 5'!$AF$5:$AF$11</definedName>
    <definedName name="y_s5_c12">'Sensor 5'!$AB$5:$AB$11</definedName>
    <definedName name="y_s5_c2">'Sensor 5'!$BP$5:$BP$11</definedName>
    <definedName name="y_s5_c3">'Sensor 5'!$BL$5:$BL$11</definedName>
    <definedName name="y_s5_c4">'Sensor 5'!$BH$5:$BH$11</definedName>
    <definedName name="y_s5_c5">'Sensor 5'!$BD$5:$BD$11</definedName>
    <definedName name="y_s5_c6">'Sensor 5'!$AZ$5:$AZ$11</definedName>
    <definedName name="y_s5_c7">'Sensor 5'!$AV$5:$AV$11</definedName>
    <definedName name="y_s5_c8">'Sensor 5'!$AR$5:$AR$11</definedName>
    <definedName name="y_s5_c9">'Sensor 5'!$AN$5:$AN$11</definedName>
    <definedName name="y_s6_c1">'Sensor 6'!$BT$5:$BT$11</definedName>
    <definedName name="y_s6_c10">'Sensor 6'!$AJ$5:$AJ$11</definedName>
    <definedName name="y_s6_c11">'Sensor 6'!$AF$5:$AF$11</definedName>
    <definedName name="y_s6_c12">'Sensor 6'!$AB$5:$AB$11</definedName>
    <definedName name="y_s6_c2">'Sensor 6'!$BP$5:$BP$11</definedName>
    <definedName name="y_s6_c3">'Sensor 6'!$BL$5:$BL$11</definedName>
    <definedName name="y_s6_c4">'Sensor 6'!$BH$5:$BH$11</definedName>
    <definedName name="y_s6_c5">'Sensor 6'!$BD$5:$BD$11</definedName>
    <definedName name="y_s6_c6">'Sensor 6'!$AZ$5:$AZ$12</definedName>
    <definedName name="y_s6_c7">'Sensor 6'!$AV$5:$AV$12</definedName>
    <definedName name="y_s6_c8">'Sensor 6'!$AR$5:$AR$12</definedName>
    <definedName name="y_s6_c9">'Sensor 6'!$AN$5:$AN$11</definedName>
    <definedName name="y_s7_c1">'Sensor 7'!$BT$5:$BT$14</definedName>
    <definedName name="y_s7_c10">'Sensor 7'!$AJ$5:$AJ$14</definedName>
    <definedName name="y_s7_c11">'Sensor 7'!$AF$5:$AF$14</definedName>
    <definedName name="y_s7_c12">'Sensor 7'!$AB$5:$AB$14</definedName>
    <definedName name="y_s7_c2">'Sensor 7'!$BP$5:$BP$14</definedName>
    <definedName name="y_s7_c3">'Sensor 7'!$BL$5:$BL$13</definedName>
    <definedName name="y_s7_c4">'Sensor 7'!$BH$5:$BH$13</definedName>
    <definedName name="y_s7_c5">'Sensor 7'!$BD$5:$BD$14</definedName>
    <definedName name="y_s7_c6">'Sensor 7'!$AZ$5:$AZ$14</definedName>
    <definedName name="y_s7_c7">'Sensor 7'!$AV$5:$AV$13</definedName>
    <definedName name="y_s7_c8">'Sensor 7'!$AR$5:$AR$13</definedName>
    <definedName name="y_s7_c9">'Sensor 7'!$AN$5:$AN$14</definedName>
    <definedName name="y_s8_c1">'Sensor 8'!$BT$5:$BT$13</definedName>
    <definedName name="y_s8_c10">'Sensor 8'!$AJ$5:$AJ$13</definedName>
    <definedName name="y_s8_c11">'Sensor 8'!$AF$5:$AF$14</definedName>
    <definedName name="y_s8_c12">'Sensor 8'!$AB$5:$AB$14</definedName>
    <definedName name="y_s8_c2">'Sensor 8'!$BP$5:$BP$13</definedName>
    <definedName name="y_s8_c3">'Sensor 8'!$BL$5:$BL$13</definedName>
    <definedName name="y_s8_c4">'Sensor 8'!$BH$5:$BH$13</definedName>
    <definedName name="y_s8_c5">'Sensor 8'!$BD$5:$BD$14</definedName>
    <definedName name="y_s8_c6">'Sensor 8'!$AZ$5:$AZ$14</definedName>
    <definedName name="y_s8_c7">'Sensor 8'!$AV$5:$AV$14</definedName>
    <definedName name="y_s8_c8">'Sensor 8'!$AR$5:$AR$15</definedName>
    <definedName name="y_s8_c9">'Sensor 8'!$AN$5:$AN$13</definedName>
  </definedNames>
  <calcPr calcId="145621"/>
</workbook>
</file>

<file path=xl/calcChain.xml><?xml version="1.0" encoding="utf-8"?>
<calcChain xmlns="http://schemas.openxmlformats.org/spreadsheetml/2006/main">
  <c r="O37" i="9" l="1"/>
  <c r="N37" i="9"/>
  <c r="B24" i="10"/>
  <c r="O37" i="6" l="1"/>
  <c r="N37" i="6"/>
  <c r="O24" i="6"/>
  <c r="N24" i="6"/>
  <c r="O11" i="6"/>
  <c r="N11" i="6"/>
  <c r="K37" i="6"/>
  <c r="J37" i="6"/>
  <c r="K24" i="6"/>
  <c r="J24" i="6"/>
  <c r="K11" i="6"/>
  <c r="J11" i="6"/>
  <c r="G37" i="6"/>
  <c r="F37" i="6"/>
  <c r="G24" i="6"/>
  <c r="F24" i="6"/>
  <c r="G11" i="6"/>
  <c r="F11" i="6"/>
  <c r="C37" i="6"/>
  <c r="B37" i="6"/>
  <c r="C24" i="6"/>
  <c r="B24" i="6"/>
  <c r="C11" i="6"/>
  <c r="B11" i="6"/>
  <c r="O37" i="7"/>
  <c r="N37" i="7"/>
  <c r="O24" i="7"/>
  <c r="N24" i="7"/>
  <c r="O11" i="7"/>
  <c r="N11" i="7"/>
  <c r="K37" i="7"/>
  <c r="J37" i="7"/>
  <c r="K24" i="7"/>
  <c r="J24" i="7"/>
  <c r="G37" i="7"/>
  <c r="K11" i="7"/>
  <c r="J11" i="7"/>
  <c r="F37" i="7"/>
  <c r="G24" i="7"/>
  <c r="F24" i="7"/>
  <c r="G11" i="7"/>
  <c r="F11" i="7"/>
  <c r="C37" i="7"/>
  <c r="B37" i="7"/>
  <c r="C24" i="7"/>
  <c r="B24" i="7"/>
  <c r="C11" i="7"/>
  <c r="B11" i="7"/>
  <c r="O37" i="8"/>
  <c r="N37" i="8"/>
  <c r="O24" i="8"/>
  <c r="N24" i="8"/>
  <c r="O11" i="8"/>
  <c r="N11" i="8"/>
  <c r="K37" i="8"/>
  <c r="J37" i="8"/>
  <c r="K24" i="8"/>
  <c r="J24" i="8"/>
  <c r="K11" i="8"/>
  <c r="J11" i="8"/>
  <c r="G37" i="8"/>
  <c r="F37" i="8"/>
  <c r="G24" i="8"/>
  <c r="F24" i="8"/>
  <c r="G11" i="8"/>
  <c r="F11" i="8"/>
  <c r="C37" i="8"/>
  <c r="B37" i="8"/>
  <c r="C24" i="8"/>
  <c r="B24" i="8"/>
  <c r="C11" i="8"/>
  <c r="B11" i="8"/>
  <c r="G11" i="9"/>
  <c r="K37" i="9"/>
  <c r="J37" i="9"/>
  <c r="G37" i="9"/>
  <c r="F37" i="9"/>
  <c r="C37" i="9"/>
  <c r="B37" i="9"/>
  <c r="O24" i="9"/>
  <c r="N24" i="9"/>
  <c r="K24" i="9"/>
  <c r="J24" i="9"/>
  <c r="G24" i="9"/>
  <c r="C24" i="9"/>
  <c r="F24" i="9"/>
  <c r="B24" i="9"/>
  <c r="O11" i="9"/>
  <c r="N11" i="9"/>
  <c r="K11" i="9"/>
  <c r="J11" i="9"/>
  <c r="F11" i="9"/>
  <c r="C11" i="9"/>
  <c r="B11" i="9"/>
  <c r="O37" i="10"/>
  <c r="N37" i="10"/>
  <c r="O24" i="10"/>
  <c r="N24" i="10"/>
  <c r="O11" i="10"/>
  <c r="N11" i="10"/>
  <c r="K37" i="10"/>
  <c r="J37" i="10"/>
  <c r="K24" i="10"/>
  <c r="J24" i="10"/>
  <c r="K11" i="10"/>
  <c r="J11" i="10"/>
  <c r="G37" i="10"/>
  <c r="F37" i="10"/>
  <c r="G24" i="10"/>
  <c r="F24" i="10"/>
  <c r="G11" i="10"/>
  <c r="F11" i="10"/>
  <c r="C37" i="10"/>
  <c r="B37" i="10"/>
  <c r="C24" i="10"/>
  <c r="C11" i="10"/>
  <c r="B11" i="10"/>
  <c r="O37" i="5"/>
  <c r="N37" i="5"/>
  <c r="O24" i="5"/>
  <c r="N24" i="5"/>
  <c r="O11" i="5"/>
  <c r="N11" i="5"/>
  <c r="K37" i="5"/>
  <c r="J37" i="5"/>
  <c r="K24" i="5"/>
  <c r="J24" i="5"/>
  <c r="K11" i="5"/>
  <c r="J11" i="5"/>
  <c r="G37" i="5"/>
  <c r="F37" i="5"/>
  <c r="G24" i="5"/>
  <c r="F24" i="5"/>
  <c r="G11" i="5"/>
  <c r="F11" i="5"/>
  <c r="C37" i="5"/>
  <c r="B37" i="5"/>
  <c r="C24" i="5"/>
  <c r="B24" i="5"/>
  <c r="C11" i="5"/>
  <c r="B11" i="5"/>
  <c r="O37" i="4"/>
  <c r="N37" i="4"/>
  <c r="K37" i="4"/>
  <c r="J37" i="4"/>
  <c r="G37" i="4"/>
  <c r="F37" i="4"/>
  <c r="C37" i="4"/>
  <c r="B37" i="4"/>
  <c r="O24" i="4"/>
  <c r="N24" i="4"/>
  <c r="K24" i="4"/>
  <c r="J24" i="4"/>
  <c r="G24" i="4"/>
  <c r="F24" i="4"/>
  <c r="C24" i="4"/>
  <c r="B24" i="4"/>
  <c r="O11" i="4"/>
  <c r="K11" i="4"/>
  <c r="G11" i="4"/>
  <c r="C11" i="4"/>
  <c r="J11" i="4"/>
  <c r="F11" i="4"/>
  <c r="B11" i="4"/>
  <c r="N11" i="4"/>
  <c r="O37" i="2"/>
  <c r="N37" i="2"/>
  <c r="O24" i="2"/>
  <c r="N24" i="2"/>
  <c r="O11" i="2"/>
  <c r="N11" i="2"/>
  <c r="K37" i="2"/>
  <c r="J37" i="2"/>
  <c r="K24" i="2"/>
  <c r="J24" i="2"/>
  <c r="K11" i="2"/>
  <c r="J11" i="2"/>
  <c r="G37" i="2"/>
  <c r="F37" i="2"/>
  <c r="G24" i="2"/>
  <c r="F24" i="2"/>
  <c r="G11" i="2"/>
  <c r="F11" i="2"/>
  <c r="C37" i="2"/>
  <c r="B37" i="2"/>
  <c r="C24" i="2"/>
  <c r="B24" i="2"/>
  <c r="C11" i="2"/>
  <c r="B11" i="2"/>
  <c r="N12" i="6" l="1"/>
  <c r="R12" i="6" s="1"/>
  <c r="J25" i="6"/>
  <c r="R10" i="6" s="1"/>
  <c r="N12" i="7"/>
  <c r="R12" i="7" s="1"/>
  <c r="N38" i="8"/>
  <c r="R14" i="8" s="1"/>
  <c r="J12" i="8"/>
  <c r="R9" i="8" s="1"/>
  <c r="B25" i="8"/>
  <c r="R4" i="8" s="1"/>
  <c r="B38" i="9"/>
  <c r="R5" i="9" s="1"/>
  <c r="F25" i="9"/>
  <c r="R7" i="9" s="1"/>
  <c r="B25" i="9"/>
  <c r="R4" i="9" s="1"/>
  <c r="N12" i="9"/>
  <c r="R12" i="9" s="1"/>
  <c r="J12" i="9"/>
  <c r="R9" i="9" s="1"/>
  <c r="N38" i="10"/>
  <c r="R14" i="10" s="1"/>
  <c r="N25" i="10"/>
  <c r="R13" i="10" s="1"/>
  <c r="N12" i="10"/>
  <c r="R12" i="10" s="1"/>
  <c r="J38" i="10"/>
  <c r="R11" i="10" s="1"/>
  <c r="J25" i="10"/>
  <c r="R10" i="10" s="1"/>
  <c r="J12" i="10"/>
  <c r="R9" i="10" s="1"/>
  <c r="F38" i="10"/>
  <c r="R8" i="10" s="1"/>
  <c r="F25" i="10"/>
  <c r="R7" i="10" s="1"/>
  <c r="F12" i="10"/>
  <c r="R6" i="10" s="1"/>
  <c r="B38" i="10"/>
  <c r="R5" i="10" s="1"/>
  <c r="B25" i="10"/>
  <c r="R4" i="10" s="1"/>
  <c r="B12" i="10"/>
  <c r="R3" i="10" s="1"/>
  <c r="J38" i="9"/>
  <c r="R11" i="9" s="1"/>
  <c r="B12" i="9"/>
  <c r="R3" i="9" s="1"/>
  <c r="F38" i="8"/>
  <c r="R8" i="8" s="1"/>
  <c r="B25" i="7"/>
  <c r="R4" i="7" s="1"/>
  <c r="B38" i="7"/>
  <c r="R5" i="7" s="1"/>
  <c r="J25" i="9"/>
  <c r="R10" i="9" s="1"/>
  <c r="F38" i="9"/>
  <c r="R8" i="9" s="1"/>
  <c r="N38" i="9"/>
  <c r="R14" i="9" s="1"/>
  <c r="F12" i="9"/>
  <c r="R6" i="9" s="1"/>
  <c r="N25" i="6"/>
  <c r="R13" i="6" s="1"/>
  <c r="N25" i="9"/>
  <c r="R13" i="9" s="1"/>
  <c r="N25" i="8"/>
  <c r="R13" i="8" s="1"/>
  <c r="J38" i="8"/>
  <c r="R11" i="8" s="1"/>
  <c r="B12" i="7"/>
  <c r="R3" i="7" s="1"/>
  <c r="B12" i="8"/>
  <c r="R3" i="8" s="1"/>
  <c r="N25" i="7"/>
  <c r="R13" i="7" s="1"/>
  <c r="F25" i="7"/>
  <c r="R7" i="7" s="1"/>
  <c r="F38" i="7"/>
  <c r="R8" i="7" s="1"/>
  <c r="F12" i="8"/>
  <c r="R6" i="8" s="1"/>
  <c r="B38" i="8"/>
  <c r="R5" i="8" s="1"/>
  <c r="J25" i="8"/>
  <c r="R10" i="8" s="1"/>
  <c r="N12" i="8"/>
  <c r="R12" i="8" s="1"/>
  <c r="J12" i="7"/>
  <c r="R9" i="7" s="1"/>
  <c r="F25" i="8"/>
  <c r="R7" i="8" s="1"/>
  <c r="B25" i="5"/>
  <c r="R4" i="5" s="1"/>
  <c r="B12" i="6"/>
  <c r="R3" i="6" s="1"/>
  <c r="J25" i="7"/>
  <c r="R10" i="7" s="1"/>
  <c r="J38" i="7"/>
  <c r="R11" i="7" s="1"/>
  <c r="F25" i="6"/>
  <c r="R7" i="6" s="1"/>
  <c r="N25" i="2"/>
  <c r="R13" i="2" s="1"/>
  <c r="J12" i="5"/>
  <c r="R9" i="5" s="1"/>
  <c r="J12" i="6"/>
  <c r="R9" i="6" s="1"/>
  <c r="F38" i="6"/>
  <c r="R8" i="6" s="1"/>
  <c r="F12" i="7"/>
  <c r="R6" i="7" s="1"/>
  <c r="N38" i="7"/>
  <c r="R14" i="7" s="1"/>
  <c r="F25" i="5"/>
  <c r="R7" i="5" s="1"/>
  <c r="F38" i="5"/>
  <c r="R8" i="5" s="1"/>
  <c r="F12" i="6"/>
  <c r="R6" i="6" s="1"/>
  <c r="B25" i="6"/>
  <c r="R4" i="6" s="1"/>
  <c r="J38" i="6"/>
  <c r="R11" i="6" s="1"/>
  <c r="N12" i="2"/>
  <c r="R12" i="2" s="1"/>
  <c r="N38" i="6"/>
  <c r="R14" i="6" s="1"/>
  <c r="N12" i="4"/>
  <c r="R12" i="4" s="1"/>
  <c r="N25" i="4"/>
  <c r="R13" i="4" s="1"/>
  <c r="N25" i="5"/>
  <c r="R13" i="5" s="1"/>
  <c r="B38" i="6"/>
  <c r="R5" i="6" s="1"/>
  <c r="J25" i="5"/>
  <c r="R10" i="5" s="1"/>
  <c r="B12" i="5"/>
  <c r="R3" i="5" s="1"/>
  <c r="N38" i="5"/>
  <c r="R14" i="5" s="1"/>
  <c r="N38" i="4"/>
  <c r="R14" i="4" s="1"/>
  <c r="F12" i="5"/>
  <c r="R6" i="5" s="1"/>
  <c r="B38" i="5"/>
  <c r="R5" i="5" s="1"/>
  <c r="N38" i="2"/>
  <c r="R14" i="2" s="1"/>
  <c r="J38" i="5"/>
  <c r="R11" i="5" s="1"/>
  <c r="N12" i="5"/>
  <c r="R12" i="5" s="1"/>
  <c r="J38" i="4"/>
  <c r="R11" i="4" s="1"/>
  <c r="F38" i="4"/>
  <c r="R8" i="4" s="1"/>
  <c r="B38" i="4"/>
  <c r="R5" i="4" s="1"/>
  <c r="J25" i="4"/>
  <c r="R10" i="4" s="1"/>
  <c r="F25" i="4"/>
  <c r="R7" i="4" s="1"/>
  <c r="B25" i="4"/>
  <c r="R4" i="4" s="1"/>
  <c r="F12" i="4"/>
  <c r="R6" i="4" s="1"/>
  <c r="J12" i="4"/>
  <c r="R9" i="4" s="1"/>
  <c r="B12" i="4"/>
  <c r="R3" i="4" s="1"/>
  <c r="J38" i="2"/>
  <c r="R11" i="2" s="1"/>
  <c r="J25" i="2"/>
  <c r="R10" i="2" s="1"/>
  <c r="J12" i="2"/>
  <c r="R9" i="2" s="1"/>
  <c r="F38" i="2"/>
  <c r="R8" i="2" s="1"/>
  <c r="F25" i="2"/>
  <c r="R7" i="2" s="1"/>
  <c r="F12" i="2"/>
  <c r="R6" i="2" s="1"/>
  <c r="B38" i="2"/>
  <c r="R5" i="2" s="1"/>
  <c r="B12" i="2"/>
  <c r="R3" i="2" s="1"/>
  <c r="B25" i="2"/>
  <c r="R4" i="2" s="1"/>
  <c r="S17" i="6" l="1"/>
  <c r="V17" i="6" s="1"/>
  <c r="S18" i="6"/>
  <c r="S18" i="7"/>
  <c r="S17" i="7"/>
  <c r="V17" i="7" s="1"/>
  <c r="S17" i="8"/>
  <c r="V17" i="8" s="1"/>
  <c r="S18" i="8"/>
  <c r="S18" i="9"/>
  <c r="S17" i="9"/>
  <c r="V17" i="9" s="1"/>
  <c r="S17" i="10"/>
  <c r="V17" i="10" s="1"/>
  <c r="S18" i="10"/>
  <c r="S18" i="5"/>
  <c r="S17" i="5"/>
  <c r="V17" i="5" s="1"/>
  <c r="S18" i="4"/>
  <c r="S17" i="4"/>
  <c r="V17" i="4" s="1"/>
  <c r="S17" i="2"/>
  <c r="V17" i="2" s="1"/>
  <c r="S18" i="2"/>
  <c r="B4" i="3"/>
  <c r="B11" i="3"/>
  <c r="B12" i="3"/>
  <c r="B5" i="3"/>
  <c r="B6" i="3"/>
  <c r="B14" i="3"/>
  <c r="J14" i="3" s="1"/>
  <c r="B8" i="3"/>
  <c r="B7" i="3"/>
  <c r="B9" i="3"/>
  <c r="B13" i="3"/>
  <c r="B10" i="3"/>
  <c r="B3" i="3"/>
  <c r="J6" i="3" l="1"/>
  <c r="J5" i="3"/>
  <c r="J12" i="3"/>
  <c r="J11" i="3"/>
  <c r="J7" i="3"/>
  <c r="C17" i="3"/>
  <c r="F17" i="3" s="1"/>
  <c r="B16" i="3"/>
  <c r="C18" i="3"/>
  <c r="J3" i="3" s="1"/>
  <c r="K18" i="3" s="1"/>
  <c r="J10" i="3"/>
  <c r="J13" i="3"/>
  <c r="J9" i="3"/>
  <c r="J4" i="3"/>
  <c r="J8" i="3"/>
  <c r="F20" i="3"/>
  <c r="K17" i="3" l="1"/>
</calcChain>
</file>

<file path=xl/sharedStrings.xml><?xml version="1.0" encoding="utf-8"?>
<sst xmlns="http://schemas.openxmlformats.org/spreadsheetml/2006/main" count="859" uniqueCount="17">
  <si>
    <t>X Maxima</t>
  </si>
  <si>
    <t xml:space="preserve">X Maxima </t>
  </si>
  <si>
    <t>X</t>
  </si>
  <si>
    <t>Y</t>
  </si>
  <si>
    <t>slope</t>
  </si>
  <si>
    <t>intercept</t>
  </si>
  <si>
    <t>degrees</t>
  </si>
  <si>
    <t>X Avg</t>
  </si>
  <si>
    <t>vs avg (90-atan)</t>
  </si>
  <si>
    <t>Sensor</t>
  </si>
  <si>
    <t>Column</t>
  </si>
  <si>
    <t>Z</t>
  </si>
  <si>
    <t>&gt;=6.5</t>
  </si>
  <si>
    <t>Timestamp</t>
  </si>
  <si>
    <t>Zero corrected</t>
  </si>
  <si>
    <t>atan</t>
  </si>
  <si>
    <t>avg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</si>
</sst>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[0]!x_s1_c12</c:f>
              <c:numCache>
                <c:formatCode>General</c:formatCode>
                <c:ptCount val="11"/>
              </c:numCache>
            </c:numRef>
          </c:xVal>
          <c:yVal>
            <c:numRef>
              <c:f>[0]!y_s1_c12</c:f>
              <c:numCache>
                <c:formatCode>General</c:formatCode>
                <c:ptCount val="1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626496"/>
        <c:axId val="259628032"/>
      </c:scatterChart>
      <c:valAx>
        <c:axId val="25962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9628032"/>
        <c:crosses val="autoZero"/>
        <c:crossBetween val="midCat"/>
      </c:valAx>
      <c:valAx>
        <c:axId val="2596280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596264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[0]!x_s1_c11</c:f>
              <c:numCache>
                <c:formatCode>General</c:formatCode>
                <c:ptCount val="12"/>
              </c:numCache>
            </c:numRef>
          </c:xVal>
          <c:yVal>
            <c:numRef>
              <c:f>[0]!y_s1_c11</c:f>
              <c:numCache>
                <c:formatCode>General</c:formatCode>
                <c:ptCount val="1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003328"/>
        <c:axId val="260004864"/>
      </c:scatterChart>
      <c:valAx>
        <c:axId val="26000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004864"/>
        <c:crosses val="autoZero"/>
        <c:crossBetween val="midCat"/>
      </c:valAx>
      <c:valAx>
        <c:axId val="2600048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600033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[0]!x_s1_c10</c:f>
              <c:numCache>
                <c:formatCode>General</c:formatCode>
                <c:ptCount val="12"/>
              </c:numCache>
            </c:numRef>
          </c:xVal>
          <c:yVal>
            <c:numRef>
              <c:f>[0]!y_s1_c10</c:f>
              <c:numCache>
                <c:formatCode>General</c:formatCode>
                <c:ptCount val="1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035328"/>
        <c:axId val="260036864"/>
      </c:scatterChart>
      <c:valAx>
        <c:axId val="260035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036864"/>
        <c:crosses val="autoZero"/>
        <c:crossBetween val="midCat"/>
      </c:valAx>
      <c:valAx>
        <c:axId val="2600368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600353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[0]!x_s1_c9</c:f>
              <c:numCache>
                <c:formatCode>General</c:formatCode>
                <c:ptCount val="12"/>
              </c:numCache>
            </c:numRef>
          </c:xVal>
          <c:yVal>
            <c:numRef>
              <c:f>[0]!y_s1_c9</c:f>
              <c:numCache>
                <c:formatCode>General</c:formatCode>
                <c:ptCount val="1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366848"/>
        <c:axId val="274368384"/>
      </c:scatterChart>
      <c:valAx>
        <c:axId val="27436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368384"/>
        <c:crosses val="autoZero"/>
        <c:crossBetween val="midCat"/>
      </c:valAx>
      <c:valAx>
        <c:axId val="2743683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43668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[0]!x_s1_c8</c:f>
              <c:numCache>
                <c:formatCode>General</c:formatCode>
                <c:ptCount val="12"/>
              </c:numCache>
            </c:numRef>
          </c:xVal>
          <c:yVal>
            <c:numRef>
              <c:f>[0]!y_s1_c8</c:f>
              <c:numCache>
                <c:formatCode>General</c:formatCode>
                <c:ptCount val="1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431808"/>
        <c:axId val="277433344"/>
      </c:scatterChart>
      <c:valAx>
        <c:axId val="27743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7433344"/>
        <c:crosses val="autoZero"/>
        <c:crossBetween val="midCat"/>
      </c:valAx>
      <c:valAx>
        <c:axId val="2774333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74318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[0]!x_s1_c7</c:f>
              <c:numCache>
                <c:formatCode>General</c:formatCode>
                <c:ptCount val="12"/>
              </c:numCache>
            </c:numRef>
          </c:xVal>
          <c:yVal>
            <c:numRef>
              <c:f>[0]!y_s1_c7</c:f>
              <c:numCache>
                <c:formatCode>General</c:formatCode>
                <c:ptCount val="1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460480"/>
        <c:axId val="277462016"/>
      </c:scatterChart>
      <c:valAx>
        <c:axId val="27746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7462016"/>
        <c:crosses val="autoZero"/>
        <c:crossBetween val="midCat"/>
      </c:valAx>
      <c:valAx>
        <c:axId val="2774620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74604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[0]!x_s1_c6</c:f>
              <c:numCache>
                <c:formatCode>General</c:formatCode>
                <c:ptCount val="12"/>
              </c:numCache>
            </c:numRef>
          </c:xVal>
          <c:yVal>
            <c:numRef>
              <c:f>[0]!y_s1_c6</c:f>
              <c:numCache>
                <c:formatCode>General</c:formatCode>
                <c:ptCount val="1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295808"/>
        <c:axId val="274305792"/>
      </c:scatterChart>
      <c:valAx>
        <c:axId val="27429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305792"/>
        <c:crosses val="autoZero"/>
        <c:crossBetween val="midCat"/>
      </c:valAx>
      <c:valAx>
        <c:axId val="2743057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42958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[0]!x_s1_c5</c:f>
              <c:numCache>
                <c:formatCode>General</c:formatCode>
                <c:ptCount val="12"/>
              </c:numCache>
            </c:numRef>
          </c:xVal>
          <c:yVal>
            <c:numRef>
              <c:f>[0]!y_s1_c5</c:f>
              <c:numCache>
                <c:formatCode>General</c:formatCode>
                <c:ptCount val="1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328192"/>
        <c:axId val="274141568"/>
      </c:scatterChart>
      <c:valAx>
        <c:axId val="27432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141568"/>
        <c:crosses val="autoZero"/>
        <c:crossBetween val="midCat"/>
      </c:valAx>
      <c:valAx>
        <c:axId val="2741415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43281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[0]!x_s1_c4</c:f>
              <c:numCache>
                <c:formatCode>General</c:formatCode>
                <c:ptCount val="11"/>
              </c:numCache>
            </c:numRef>
          </c:xVal>
          <c:yVal>
            <c:numRef>
              <c:f>[0]!y_s1_c4</c:f>
              <c:numCache>
                <c:formatCode>General</c:formatCode>
                <c:ptCount val="1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184064"/>
        <c:axId val="274185600"/>
      </c:scatterChart>
      <c:valAx>
        <c:axId val="274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185600"/>
        <c:crosses val="autoZero"/>
        <c:crossBetween val="midCat"/>
      </c:valAx>
      <c:valAx>
        <c:axId val="2741856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41840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[0]!x_s1_c3</c:f>
              <c:numCache>
                <c:formatCode>General</c:formatCode>
                <c:ptCount val="11"/>
              </c:numCache>
            </c:numRef>
          </c:xVal>
          <c:yVal>
            <c:numRef>
              <c:f>[0]!y_s1_c3</c:f>
              <c:numCache>
                <c:formatCode>General</c:formatCode>
                <c:ptCount val="1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224640"/>
        <c:axId val="274226176"/>
      </c:scatterChart>
      <c:valAx>
        <c:axId val="27422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226176"/>
        <c:crosses val="autoZero"/>
        <c:crossBetween val="midCat"/>
      </c:valAx>
      <c:valAx>
        <c:axId val="2742261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42246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[0]!x_s1_c2</c:f>
              <c:numCache>
                <c:formatCode>General</c:formatCode>
                <c:ptCount val="12"/>
              </c:numCache>
            </c:numRef>
          </c:xVal>
          <c:yVal>
            <c:numRef>
              <c:f>[0]!y_s1_c2</c:f>
              <c:numCache>
                <c:formatCode>General</c:formatCode>
                <c:ptCount val="1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261120"/>
        <c:axId val="274262656"/>
      </c:scatterChart>
      <c:valAx>
        <c:axId val="27426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262656"/>
        <c:crosses val="autoZero"/>
        <c:crossBetween val="midCat"/>
      </c:valAx>
      <c:valAx>
        <c:axId val="2742626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42611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[0]!x_s1_c1</c:f>
              <c:numCache>
                <c:formatCode>General</c:formatCode>
                <c:ptCount val="12"/>
              </c:numCache>
            </c:numRef>
          </c:xVal>
          <c:yVal>
            <c:numRef>
              <c:f>[0]!y_s1_c1</c:f>
              <c:numCache>
                <c:formatCode>General</c:formatCode>
                <c:ptCount val="1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517056"/>
        <c:axId val="277518592"/>
      </c:scatterChart>
      <c:valAx>
        <c:axId val="27751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7518592"/>
        <c:crosses val="autoZero"/>
        <c:crossBetween val="midCat"/>
      </c:valAx>
      <c:valAx>
        <c:axId val="2775185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75170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7481926601280104"/>
                  <c:y val="-7.0462548965298938E-3"/>
                </c:manualLayout>
              </c:layout>
              <c:numFmt formatCode="General" sourceLinked="0"/>
            </c:trendlineLbl>
          </c:trendline>
          <c:xVal>
            <c:numRef>
              <c:f>'Sensor 1'!$S$3:$S$14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1'!$R$3:$R$14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354624"/>
        <c:axId val="281356160"/>
      </c:scatterChart>
      <c:valAx>
        <c:axId val="28135462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281356160"/>
        <c:crosses val="max"/>
        <c:crossBetween val="midCat"/>
      </c:valAx>
      <c:valAx>
        <c:axId val="2813561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13546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[0]!x_s2_c12</c:f>
              <c:numCache>
                <c:formatCode>General</c:formatCode>
                <c:ptCount val="9"/>
              </c:numCache>
            </c:numRef>
          </c:xVal>
          <c:yVal>
            <c:numRef>
              <c:f>[0]!y_s2_c12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163840"/>
        <c:axId val="260169728"/>
      </c:scatterChart>
      <c:valAx>
        <c:axId val="26016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169728"/>
        <c:crosses val="autoZero"/>
        <c:crossBetween val="midCat"/>
      </c:valAx>
      <c:valAx>
        <c:axId val="260169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601638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[0]!x_s2_c11</c:f>
              <c:numCache>
                <c:formatCode>General</c:formatCode>
                <c:ptCount val="8"/>
              </c:numCache>
            </c:numRef>
          </c:xVal>
          <c:yVal>
            <c:numRef>
              <c:f>[0]!y_s2_c11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178688"/>
        <c:axId val="260180224"/>
      </c:scatterChart>
      <c:valAx>
        <c:axId val="26017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180224"/>
        <c:crosses val="autoZero"/>
        <c:crossBetween val="midCat"/>
      </c:valAx>
      <c:valAx>
        <c:axId val="2601802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601786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[0]!x_s2_c10</c:f>
              <c:numCache>
                <c:formatCode>General</c:formatCode>
                <c:ptCount val="8"/>
              </c:numCache>
            </c:numRef>
          </c:xVal>
          <c:yVal>
            <c:numRef>
              <c:f>[0]!y_s2_c10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208896"/>
        <c:axId val="260218880"/>
      </c:scatterChart>
      <c:valAx>
        <c:axId val="26020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218880"/>
        <c:crosses val="autoZero"/>
        <c:crossBetween val="midCat"/>
      </c:valAx>
      <c:valAx>
        <c:axId val="2602188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602088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[0]!x_s2_c9</c:f>
              <c:numCache>
                <c:formatCode>General</c:formatCode>
                <c:ptCount val="8"/>
              </c:numCache>
            </c:numRef>
          </c:xVal>
          <c:yVal>
            <c:numRef>
              <c:f>[0]!y_s2_c9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247936"/>
        <c:axId val="260249472"/>
      </c:scatterChart>
      <c:valAx>
        <c:axId val="2602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249472"/>
        <c:crosses val="autoZero"/>
        <c:crossBetween val="midCat"/>
      </c:valAx>
      <c:valAx>
        <c:axId val="2602494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602479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[0]!x_s2_c8</c:f>
              <c:numCache>
                <c:formatCode>General</c:formatCode>
                <c:ptCount val="7"/>
              </c:numCache>
            </c:numRef>
          </c:xVal>
          <c:yVal>
            <c:numRef>
              <c:f>[0]!y_s2_c8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270336"/>
        <c:axId val="260300800"/>
      </c:scatterChart>
      <c:valAx>
        <c:axId val="26027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300800"/>
        <c:crosses val="autoZero"/>
        <c:crossBetween val="midCat"/>
      </c:valAx>
      <c:valAx>
        <c:axId val="2603008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602703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[0]!x_s2_c7</c:f>
              <c:numCache>
                <c:formatCode>General</c:formatCode>
                <c:ptCount val="7"/>
              </c:numCache>
            </c:numRef>
          </c:xVal>
          <c:yVal>
            <c:numRef>
              <c:f>[0]!y_s2_c7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24256"/>
        <c:axId val="281425792"/>
      </c:scatterChart>
      <c:valAx>
        <c:axId val="28142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1425792"/>
        <c:crosses val="autoZero"/>
        <c:crossBetween val="midCat"/>
      </c:valAx>
      <c:valAx>
        <c:axId val="2814257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14242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[0]!x_s2_c6</c:f>
              <c:numCache>
                <c:formatCode>General</c:formatCode>
                <c:ptCount val="8"/>
              </c:numCache>
            </c:numRef>
          </c:xVal>
          <c:yVal>
            <c:numRef>
              <c:f>[0]!y_s2_c6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38464"/>
        <c:axId val="281448448"/>
      </c:scatterChart>
      <c:valAx>
        <c:axId val="28143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1448448"/>
        <c:crosses val="autoZero"/>
        <c:crossBetween val="midCat"/>
      </c:valAx>
      <c:valAx>
        <c:axId val="2814484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14384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[0]!x_s2_c5</c:f>
              <c:numCache>
                <c:formatCode>General</c:formatCode>
                <c:ptCount val="8"/>
              </c:numCache>
            </c:numRef>
          </c:xVal>
          <c:yVal>
            <c:numRef>
              <c:f>[0]!y_s2_c5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128192"/>
        <c:axId val="283129728"/>
      </c:scatterChart>
      <c:valAx>
        <c:axId val="28312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3129728"/>
        <c:crosses val="autoZero"/>
        <c:crossBetween val="midCat"/>
      </c:valAx>
      <c:valAx>
        <c:axId val="283129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31281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[0]!x_s2_c4</c:f>
              <c:numCache>
                <c:formatCode>General</c:formatCode>
                <c:ptCount val="8"/>
              </c:numCache>
            </c:numRef>
          </c:xVal>
          <c:yVal>
            <c:numRef>
              <c:f>[0]!y_s2_c4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159168"/>
        <c:axId val="283169152"/>
      </c:scatterChart>
      <c:valAx>
        <c:axId val="28315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3169152"/>
        <c:crosses val="autoZero"/>
        <c:crossBetween val="midCat"/>
      </c:valAx>
      <c:valAx>
        <c:axId val="2831691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31591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[0]!x_s2_c3</c:f>
              <c:numCache>
                <c:formatCode>General</c:formatCode>
                <c:ptCount val="8"/>
              </c:numCache>
            </c:numRef>
          </c:xVal>
          <c:yVal>
            <c:numRef>
              <c:f>[0]!y_s2_c3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63040"/>
        <c:axId val="283064576"/>
      </c:scatterChart>
      <c:valAx>
        <c:axId val="28306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3064576"/>
        <c:crosses val="autoZero"/>
        <c:crossBetween val="midCat"/>
      </c:valAx>
      <c:valAx>
        <c:axId val="2830645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30630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[0]!x_s2_c2</c:f>
              <c:numCache>
                <c:formatCode>General</c:formatCode>
                <c:ptCount val="8"/>
              </c:numCache>
            </c:numRef>
          </c:xVal>
          <c:yVal>
            <c:numRef>
              <c:f>[0]!y_s2_c2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93632"/>
        <c:axId val="283099520"/>
      </c:scatterChart>
      <c:valAx>
        <c:axId val="28309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3099520"/>
        <c:crosses val="autoZero"/>
        <c:crossBetween val="midCat"/>
      </c:valAx>
      <c:valAx>
        <c:axId val="2830995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30936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[0]!x_s2_c1</c:f>
              <c:numCache>
                <c:formatCode>General</c:formatCode>
                <c:ptCount val="8"/>
              </c:numCache>
            </c:numRef>
          </c:xVal>
          <c:yVal>
            <c:numRef>
              <c:f>[0]!y_s2_c1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452160"/>
        <c:axId val="283453696"/>
      </c:scatterChart>
      <c:valAx>
        <c:axId val="28345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3453696"/>
        <c:crosses val="autoZero"/>
        <c:crossBetween val="midCat"/>
      </c:valAx>
      <c:valAx>
        <c:axId val="2834536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34521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342349311599208"/>
                  <c:y val="1.4160566612590512E-2"/>
                </c:manualLayout>
              </c:layout>
              <c:numFmt formatCode="General" sourceLinked="0"/>
            </c:trendlineLbl>
          </c:trendline>
          <c:xVal>
            <c:numRef>
              <c:f>'Sensor 2'!$S$3:$S$14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2'!$R$3:$R$14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496448"/>
        <c:axId val="283497984"/>
      </c:scatterChart>
      <c:valAx>
        <c:axId val="28349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3497984"/>
        <c:crosses val="autoZero"/>
        <c:crossBetween val="midCat"/>
      </c:valAx>
      <c:valAx>
        <c:axId val="2834979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34964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[0]!x_s3_c12</c:f>
              <c:numCache>
                <c:formatCode>General</c:formatCode>
                <c:ptCount val="8"/>
              </c:numCache>
            </c:numRef>
          </c:xVal>
          <c:yVal>
            <c:numRef>
              <c:f>[0]!y_s3_c12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293568"/>
        <c:axId val="283295104"/>
      </c:scatterChart>
      <c:valAx>
        <c:axId val="28329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3295104"/>
        <c:crosses val="autoZero"/>
        <c:crossBetween val="midCat"/>
      </c:valAx>
      <c:valAx>
        <c:axId val="2832951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32935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[0]!x_s3_c11</c:f>
              <c:numCache>
                <c:formatCode>General</c:formatCode>
                <c:ptCount val="7"/>
              </c:numCache>
            </c:numRef>
          </c:xVal>
          <c:yVal>
            <c:numRef>
              <c:f>[0]!y_s3_c11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565888"/>
        <c:axId val="284567424"/>
      </c:scatterChart>
      <c:valAx>
        <c:axId val="28456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567424"/>
        <c:crosses val="autoZero"/>
        <c:crossBetween val="midCat"/>
      </c:valAx>
      <c:valAx>
        <c:axId val="2845674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45658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[0]!x_s3_c10</c:f>
              <c:numCache>
                <c:formatCode>General</c:formatCode>
                <c:ptCount val="7"/>
              </c:numCache>
            </c:numRef>
          </c:xVal>
          <c:yVal>
            <c:numRef>
              <c:f>[0]!y_s3_c10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592384"/>
        <c:axId val="284618752"/>
      </c:scatterChart>
      <c:valAx>
        <c:axId val="28459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618752"/>
        <c:crosses val="autoZero"/>
        <c:crossBetween val="midCat"/>
      </c:valAx>
      <c:valAx>
        <c:axId val="2846187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45923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[0]!x_s3_c9</c:f>
              <c:numCache>
                <c:formatCode>General</c:formatCode>
                <c:ptCount val="7"/>
              </c:numCache>
            </c:numRef>
          </c:xVal>
          <c:yVal>
            <c:numRef>
              <c:f>[0]!y_s3_c9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786688"/>
        <c:axId val="284788224"/>
      </c:scatterChart>
      <c:valAx>
        <c:axId val="28478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788224"/>
        <c:crosses val="autoZero"/>
        <c:crossBetween val="midCat"/>
      </c:valAx>
      <c:valAx>
        <c:axId val="2847882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47866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[0]!x_s3_c8</c:f>
              <c:numCache>
                <c:formatCode>General</c:formatCode>
                <c:ptCount val="7"/>
              </c:numCache>
            </c:numRef>
          </c:xVal>
          <c:yVal>
            <c:numRef>
              <c:f>[0]!y_s3_c8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821376"/>
        <c:axId val="284822912"/>
      </c:scatterChart>
      <c:valAx>
        <c:axId val="28482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822912"/>
        <c:crosses val="autoZero"/>
        <c:crossBetween val="midCat"/>
      </c:valAx>
      <c:valAx>
        <c:axId val="2848229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48213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[0]!x_s3_c7</c:f>
              <c:numCache>
                <c:formatCode>General</c:formatCode>
                <c:ptCount val="7"/>
              </c:numCache>
            </c:numRef>
          </c:xVal>
          <c:yVal>
            <c:numRef>
              <c:f>[0]!y_s3_c7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844032"/>
        <c:axId val="284845568"/>
      </c:scatterChart>
      <c:valAx>
        <c:axId val="28484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845568"/>
        <c:crosses val="autoZero"/>
        <c:crossBetween val="midCat"/>
      </c:valAx>
      <c:valAx>
        <c:axId val="2848455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48440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[0]!x_s3_c6</c:f>
              <c:numCache>
                <c:formatCode>General</c:formatCode>
                <c:ptCount val="7"/>
              </c:numCache>
            </c:numRef>
          </c:xVal>
          <c:yVal>
            <c:numRef>
              <c:f>[0]!y_s3_c6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874624"/>
        <c:axId val="284876160"/>
      </c:scatterChart>
      <c:valAx>
        <c:axId val="28487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876160"/>
        <c:crosses val="autoZero"/>
        <c:crossBetween val="midCat"/>
      </c:valAx>
      <c:valAx>
        <c:axId val="2848761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48746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[0]!x_s3_c5</c:f>
              <c:numCache>
                <c:formatCode>General</c:formatCode>
                <c:ptCount val="6"/>
              </c:numCache>
            </c:numRef>
          </c:xVal>
          <c:yVal>
            <c:numRef>
              <c:f>[0]!y_s3_c5</c:f>
              <c:numCache>
                <c:formatCode>General</c:formatCode>
                <c:ptCount val="6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17760"/>
        <c:axId val="284919296"/>
      </c:scatterChart>
      <c:valAx>
        <c:axId val="28491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919296"/>
        <c:crosses val="autoZero"/>
        <c:crossBetween val="midCat"/>
      </c:valAx>
      <c:valAx>
        <c:axId val="2849192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49177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[0]!x_s3_c4</c:f>
              <c:numCache>
                <c:formatCode>General</c:formatCode>
                <c:ptCount val="6"/>
              </c:numCache>
            </c:numRef>
          </c:xVal>
          <c:yVal>
            <c:numRef>
              <c:f>[0]!y_s3_c4</c:f>
              <c:numCache>
                <c:formatCode>General</c:formatCode>
                <c:ptCount val="6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36064"/>
        <c:axId val="284937600"/>
      </c:scatterChart>
      <c:valAx>
        <c:axId val="28493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937600"/>
        <c:crosses val="autoZero"/>
        <c:crossBetween val="midCat"/>
      </c:valAx>
      <c:valAx>
        <c:axId val="2849376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49360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[0]!x_s3_c3</c:f>
              <c:numCache>
                <c:formatCode>General</c:formatCode>
                <c:ptCount val="7"/>
              </c:numCache>
            </c:numRef>
          </c:xVal>
          <c:yVal>
            <c:numRef>
              <c:f>[0]!y_s3_c3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052928"/>
        <c:axId val="285054464"/>
      </c:scatterChart>
      <c:valAx>
        <c:axId val="28505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054464"/>
        <c:crosses val="autoZero"/>
        <c:crossBetween val="midCat"/>
      </c:valAx>
      <c:valAx>
        <c:axId val="2850544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0529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[0]!x_s3_c2</c:f>
              <c:numCache>
                <c:formatCode>General</c:formatCode>
                <c:ptCount val="7"/>
              </c:numCache>
            </c:numRef>
          </c:xVal>
          <c:yVal>
            <c:numRef>
              <c:f>[0]!y_s3_c2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53152"/>
        <c:axId val="285154688"/>
      </c:scatterChart>
      <c:valAx>
        <c:axId val="28515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154688"/>
        <c:crosses val="autoZero"/>
        <c:crossBetween val="midCat"/>
      </c:valAx>
      <c:valAx>
        <c:axId val="2851546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1531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[0]!x_s3_c1</c:f>
              <c:numCache>
                <c:formatCode>General</c:formatCode>
                <c:ptCount val="7"/>
              </c:numCache>
            </c:numRef>
          </c:xVal>
          <c:yVal>
            <c:numRef>
              <c:f>[0]!y_s3_c1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79904"/>
        <c:axId val="285181440"/>
      </c:scatterChart>
      <c:valAx>
        <c:axId val="28517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181440"/>
        <c:crosses val="autoZero"/>
        <c:crossBetween val="midCat"/>
      </c:valAx>
      <c:valAx>
        <c:axId val="2851814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1799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3'!$S$3:$S$14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3'!$R$3:$R$14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99744"/>
        <c:axId val="285209728"/>
      </c:scatterChart>
      <c:valAx>
        <c:axId val="28519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209728"/>
        <c:crosses val="autoZero"/>
        <c:crossBetween val="midCat"/>
      </c:valAx>
      <c:valAx>
        <c:axId val="285209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1997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[0]!x_s4_c12</c:f>
              <c:numCache>
                <c:formatCode>General</c:formatCode>
                <c:ptCount val="9"/>
              </c:numCache>
            </c:numRef>
          </c:xVal>
          <c:yVal>
            <c:numRef>
              <c:f>[0]!y_s4_c12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685184"/>
        <c:axId val="278686720"/>
      </c:scatterChart>
      <c:valAx>
        <c:axId val="27868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8686720"/>
        <c:crosses val="autoZero"/>
        <c:crossBetween val="midCat"/>
      </c:valAx>
      <c:valAx>
        <c:axId val="2786867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86851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[0]!x_s4_c11</c:f>
              <c:numCache>
                <c:formatCode>General</c:formatCode>
                <c:ptCount val="8"/>
              </c:numCache>
            </c:numRef>
          </c:xVal>
          <c:yVal>
            <c:numRef>
              <c:f>[0]!y_s4_c11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732800"/>
        <c:axId val="278734336"/>
      </c:scatterChart>
      <c:valAx>
        <c:axId val="27873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8734336"/>
        <c:crosses val="autoZero"/>
        <c:crossBetween val="midCat"/>
      </c:valAx>
      <c:valAx>
        <c:axId val="2787343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87328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[0]!x_s4_c10</c:f>
              <c:numCache>
                <c:formatCode>General</c:formatCode>
                <c:ptCount val="7"/>
              </c:numCache>
            </c:numRef>
          </c:xVal>
          <c:yVal>
            <c:numRef>
              <c:f>[0]!y_s4_c10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783872"/>
        <c:axId val="278785408"/>
      </c:scatterChart>
      <c:valAx>
        <c:axId val="27878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8785408"/>
        <c:crosses val="autoZero"/>
        <c:crossBetween val="midCat"/>
      </c:valAx>
      <c:valAx>
        <c:axId val="2787854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87838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[0]!x_s4_c9</c:f>
              <c:numCache>
                <c:formatCode>General</c:formatCode>
                <c:ptCount val="7"/>
              </c:numCache>
            </c:numRef>
          </c:xVal>
          <c:yVal>
            <c:numRef>
              <c:f>[0]!y_s4_c9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582400"/>
        <c:axId val="282584192"/>
      </c:scatterChart>
      <c:valAx>
        <c:axId val="28258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2584192"/>
        <c:crosses val="autoZero"/>
        <c:crossBetween val="midCat"/>
      </c:valAx>
      <c:valAx>
        <c:axId val="2825841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25824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[0]!x_s4_c8</c:f>
              <c:numCache>
                <c:formatCode>General</c:formatCode>
                <c:ptCount val="7"/>
              </c:numCache>
            </c:numRef>
          </c:xVal>
          <c:yVal>
            <c:numRef>
              <c:f>[0]!y_s4_c8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820352"/>
        <c:axId val="278821888"/>
      </c:scatterChart>
      <c:valAx>
        <c:axId val="27882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8821888"/>
        <c:crosses val="autoZero"/>
        <c:crossBetween val="midCat"/>
      </c:valAx>
      <c:valAx>
        <c:axId val="2788218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88203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[0]!x_s4_c7</c:f>
              <c:numCache>
                <c:formatCode>General</c:formatCode>
                <c:ptCount val="7"/>
              </c:numCache>
            </c:numRef>
          </c:xVal>
          <c:yVal>
            <c:numRef>
              <c:f>[0]!y_s4_c7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838656"/>
        <c:axId val="278848640"/>
      </c:scatterChart>
      <c:valAx>
        <c:axId val="27883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8848640"/>
        <c:crosses val="autoZero"/>
        <c:crossBetween val="midCat"/>
      </c:valAx>
      <c:valAx>
        <c:axId val="2788486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88386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[0]!x_s4_c6</c:f>
              <c:numCache>
                <c:formatCode>General</c:formatCode>
                <c:ptCount val="8"/>
              </c:numCache>
            </c:numRef>
          </c:xVal>
          <c:yVal>
            <c:numRef>
              <c:f>[0]!y_s4_c6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889984"/>
        <c:axId val="278891520"/>
      </c:scatterChart>
      <c:valAx>
        <c:axId val="27888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8891520"/>
        <c:crosses val="autoZero"/>
        <c:crossBetween val="midCat"/>
      </c:valAx>
      <c:valAx>
        <c:axId val="2788915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88899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[0]!x_s4_c5</c:f>
              <c:numCache>
                <c:formatCode>General</c:formatCode>
                <c:ptCount val="8"/>
              </c:numCache>
            </c:numRef>
          </c:xVal>
          <c:yVal>
            <c:numRef>
              <c:f>[0]!y_s4_c5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920576"/>
        <c:axId val="282662016"/>
      </c:scatterChart>
      <c:valAx>
        <c:axId val="27892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2662016"/>
        <c:crosses val="autoZero"/>
        <c:crossBetween val="midCat"/>
      </c:valAx>
      <c:valAx>
        <c:axId val="2826620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789205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[0]!x_s4_c4</c:f>
              <c:numCache>
                <c:formatCode>General</c:formatCode>
                <c:ptCount val="8"/>
              </c:numCache>
            </c:numRef>
          </c:xVal>
          <c:yVal>
            <c:numRef>
              <c:f>[0]!y_s4_c4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691072"/>
        <c:axId val="282692608"/>
      </c:scatterChart>
      <c:valAx>
        <c:axId val="282691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2692608"/>
        <c:crosses val="autoZero"/>
        <c:crossBetween val="midCat"/>
      </c:valAx>
      <c:valAx>
        <c:axId val="2826926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26910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[0]!x_s4_c3</c:f>
              <c:numCache>
                <c:formatCode>General</c:formatCode>
                <c:ptCount val="8"/>
              </c:numCache>
            </c:numRef>
          </c:xVal>
          <c:yVal>
            <c:numRef>
              <c:f>[0]!y_s4_c3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733952"/>
        <c:axId val="282735744"/>
      </c:scatterChart>
      <c:valAx>
        <c:axId val="28273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2735744"/>
        <c:crosses val="autoZero"/>
        <c:crossBetween val="midCat"/>
      </c:valAx>
      <c:valAx>
        <c:axId val="2827357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27339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[0]!x_s4_c2</c:f>
              <c:numCache>
                <c:formatCode>General</c:formatCode>
                <c:ptCount val="8"/>
              </c:numCache>
            </c:numRef>
          </c:xVal>
          <c:yVal>
            <c:numRef>
              <c:f>[0]!y_s4_c2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764800"/>
        <c:axId val="282766336"/>
      </c:scatterChart>
      <c:valAx>
        <c:axId val="28276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2766336"/>
        <c:crosses val="autoZero"/>
        <c:crossBetween val="midCat"/>
      </c:valAx>
      <c:valAx>
        <c:axId val="2827663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27648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[0]!x_s4_c1</c:f>
              <c:numCache>
                <c:formatCode>General</c:formatCode>
                <c:ptCount val="8"/>
              </c:numCache>
            </c:numRef>
          </c:xVal>
          <c:yVal>
            <c:numRef>
              <c:f>[0]!y_s4_c1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779008"/>
        <c:axId val="286008448"/>
      </c:scatterChart>
      <c:valAx>
        <c:axId val="28277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6008448"/>
        <c:crosses val="autoZero"/>
        <c:crossBetween val="midCat"/>
      </c:valAx>
      <c:valAx>
        <c:axId val="2860084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27790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1043330110052033"/>
                  <c:y val="-6.5756604545034888E-2"/>
                </c:manualLayout>
              </c:layout>
              <c:numFmt formatCode="General" sourceLinked="0"/>
            </c:trendlineLbl>
          </c:trendline>
          <c:xVal>
            <c:numRef>
              <c:f>'Sensor 4'!$S$3:$S$14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4'!$R$3:$R$14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038272"/>
        <c:axId val="286044160"/>
      </c:scatterChart>
      <c:valAx>
        <c:axId val="28603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6044160"/>
        <c:crosses val="autoZero"/>
        <c:crossBetween val="midCat"/>
      </c:valAx>
      <c:valAx>
        <c:axId val="2860441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60382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[0]!x_s5_c12</c:f>
              <c:numCache>
                <c:formatCode>General</c:formatCode>
                <c:ptCount val="7"/>
              </c:numCache>
            </c:numRef>
          </c:xVal>
          <c:yVal>
            <c:numRef>
              <c:f>[0]!y_s5_c12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774208"/>
        <c:axId val="285775744"/>
      </c:scatterChart>
      <c:valAx>
        <c:axId val="2857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775744"/>
        <c:crosses val="autoZero"/>
        <c:crossBetween val="midCat"/>
      </c:valAx>
      <c:valAx>
        <c:axId val="2857757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7742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[0]!x_s5_c11</c:f>
              <c:numCache>
                <c:formatCode>General</c:formatCode>
                <c:ptCount val="7"/>
              </c:numCache>
            </c:numRef>
          </c:xVal>
          <c:yVal>
            <c:numRef>
              <c:f>[0]!y_s5_c11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878912"/>
        <c:axId val="285884800"/>
      </c:scatterChart>
      <c:valAx>
        <c:axId val="28587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884800"/>
        <c:crosses val="autoZero"/>
        <c:crossBetween val="midCat"/>
      </c:valAx>
      <c:valAx>
        <c:axId val="2858848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8789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[0]!x_s5_c10</c:f>
              <c:numCache>
                <c:formatCode>General</c:formatCode>
                <c:ptCount val="7"/>
              </c:numCache>
            </c:numRef>
          </c:xVal>
          <c:yVal>
            <c:numRef>
              <c:f>[0]!y_s5_c10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905664"/>
        <c:axId val="285907200"/>
      </c:scatterChart>
      <c:valAx>
        <c:axId val="28590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907200"/>
        <c:crosses val="autoZero"/>
        <c:crossBetween val="midCat"/>
      </c:valAx>
      <c:valAx>
        <c:axId val="2859072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9056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[0]!x_s5_c9</c:f>
              <c:numCache>
                <c:formatCode>General</c:formatCode>
                <c:ptCount val="7"/>
              </c:numCache>
            </c:numRef>
          </c:xVal>
          <c:yVal>
            <c:numRef>
              <c:f>[0]!y_s5_c9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919488"/>
        <c:axId val="285822976"/>
      </c:scatterChart>
      <c:valAx>
        <c:axId val="28591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822976"/>
        <c:crosses val="autoZero"/>
        <c:crossBetween val="midCat"/>
      </c:valAx>
      <c:valAx>
        <c:axId val="2858229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9194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[0]!x_s5_c8</c:f>
              <c:numCache>
                <c:formatCode>General</c:formatCode>
                <c:ptCount val="7"/>
              </c:numCache>
            </c:numRef>
          </c:xVal>
          <c:yVal>
            <c:numRef>
              <c:f>[0]!y_s5_c8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843840"/>
        <c:axId val="285845376"/>
      </c:scatterChart>
      <c:valAx>
        <c:axId val="28584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845376"/>
        <c:crosses val="autoZero"/>
        <c:crossBetween val="midCat"/>
      </c:valAx>
      <c:valAx>
        <c:axId val="2858453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8438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[0]!x_s5_c7</c:f>
              <c:numCache>
                <c:formatCode>General</c:formatCode>
                <c:ptCount val="7"/>
              </c:numCache>
            </c:numRef>
          </c:xVal>
          <c:yVal>
            <c:numRef>
              <c:f>[0]!y_s5_c7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862144"/>
        <c:axId val="289288192"/>
      </c:scatterChart>
      <c:valAx>
        <c:axId val="28586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288192"/>
        <c:crosses val="autoZero"/>
        <c:crossBetween val="midCat"/>
      </c:valAx>
      <c:valAx>
        <c:axId val="2892881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8621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[0]!x_s5_c6</c:f>
              <c:numCache>
                <c:formatCode>General</c:formatCode>
                <c:ptCount val="7"/>
              </c:numCache>
            </c:numRef>
          </c:xVal>
          <c:yVal>
            <c:numRef>
              <c:f>[0]!y_s5_c6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25440"/>
        <c:axId val="289326976"/>
      </c:scatterChart>
      <c:valAx>
        <c:axId val="28932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326976"/>
        <c:crosses val="autoZero"/>
        <c:crossBetween val="midCat"/>
      </c:valAx>
      <c:valAx>
        <c:axId val="2893269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93254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[0]!x_s5_c5</c:f>
              <c:numCache>
                <c:formatCode>General</c:formatCode>
                <c:ptCount val="7"/>
              </c:numCache>
            </c:numRef>
          </c:xVal>
          <c:yVal>
            <c:numRef>
              <c:f>[0]!y_s5_c5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56032"/>
        <c:axId val="289361920"/>
      </c:scatterChart>
      <c:valAx>
        <c:axId val="2893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361920"/>
        <c:crosses val="autoZero"/>
        <c:crossBetween val="midCat"/>
      </c:valAx>
      <c:valAx>
        <c:axId val="2893619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93560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[0]!x_s5_c4</c:f>
              <c:numCache>
                <c:formatCode>General</c:formatCode>
                <c:ptCount val="7"/>
              </c:numCache>
            </c:numRef>
          </c:xVal>
          <c:yVal>
            <c:numRef>
              <c:f>[0]!y_s5_c4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86880"/>
        <c:axId val="289388416"/>
      </c:scatterChart>
      <c:valAx>
        <c:axId val="28938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388416"/>
        <c:crosses val="autoZero"/>
        <c:crossBetween val="midCat"/>
      </c:valAx>
      <c:valAx>
        <c:axId val="2893884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93868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[0]!x_s5_c3</c:f>
              <c:numCache>
                <c:formatCode>General</c:formatCode>
                <c:ptCount val="7"/>
              </c:numCache>
            </c:numRef>
          </c:xVal>
          <c:yVal>
            <c:numRef>
              <c:f>[0]!y_s5_c3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708928"/>
        <c:axId val="295710720"/>
      </c:scatterChart>
      <c:valAx>
        <c:axId val="29570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5710720"/>
        <c:crosses val="autoZero"/>
        <c:crossBetween val="midCat"/>
      </c:valAx>
      <c:valAx>
        <c:axId val="2957107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57089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[0]!x_s5_c2</c:f>
              <c:numCache>
                <c:formatCode>General</c:formatCode>
                <c:ptCount val="7"/>
              </c:numCache>
            </c:numRef>
          </c:xVal>
          <c:yVal>
            <c:numRef>
              <c:f>[0]!y_s5_c2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739776"/>
        <c:axId val="295741312"/>
      </c:scatterChart>
      <c:valAx>
        <c:axId val="29573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5741312"/>
        <c:crosses val="autoZero"/>
        <c:crossBetween val="midCat"/>
      </c:valAx>
      <c:valAx>
        <c:axId val="2957413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57397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[0]!x_s5_c1</c:f>
              <c:numCache>
                <c:formatCode>General</c:formatCode>
                <c:ptCount val="7"/>
              </c:numCache>
            </c:numRef>
          </c:xVal>
          <c:yVal>
            <c:numRef>
              <c:f>[0]!y_s5_c1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758080"/>
        <c:axId val="297689088"/>
      </c:scatterChart>
      <c:valAx>
        <c:axId val="29575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689088"/>
        <c:crosses val="autoZero"/>
        <c:crossBetween val="midCat"/>
      </c:valAx>
      <c:valAx>
        <c:axId val="2976890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57580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6.9497628585900445E-2"/>
                  <c:y val="-2.6788535855128661E-2"/>
                </c:manualLayout>
              </c:layout>
              <c:numFmt formatCode="General" sourceLinked="0"/>
            </c:trendlineLbl>
          </c:trendline>
          <c:xVal>
            <c:numRef>
              <c:f>'Sensor 5'!$S$3:$S$14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5'!$R$3:$R$14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10720"/>
        <c:axId val="297712256"/>
      </c:scatterChart>
      <c:valAx>
        <c:axId val="29771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712256"/>
        <c:crosses val="autoZero"/>
        <c:crossBetween val="midCat"/>
      </c:valAx>
      <c:valAx>
        <c:axId val="2977122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7107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[0]!x_s6_c12</c:f>
              <c:numCache>
                <c:formatCode>General</c:formatCode>
                <c:ptCount val="7"/>
              </c:numCache>
            </c:numRef>
          </c:xVal>
          <c:yVal>
            <c:numRef>
              <c:f>[0]!y_s6_c12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94560"/>
        <c:axId val="297800448"/>
      </c:scatterChart>
      <c:valAx>
        <c:axId val="29779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800448"/>
        <c:crosses val="autoZero"/>
        <c:crossBetween val="midCat"/>
      </c:valAx>
      <c:valAx>
        <c:axId val="2978004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7945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[0]!x_s6_c11</c:f>
              <c:numCache>
                <c:formatCode>General</c:formatCode>
                <c:ptCount val="7"/>
              </c:numCache>
            </c:numRef>
          </c:xVal>
          <c:yVal>
            <c:numRef>
              <c:f>[0]!y_s6_c11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838080"/>
        <c:axId val="297839616"/>
      </c:scatterChart>
      <c:valAx>
        <c:axId val="29783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839616"/>
        <c:crosses val="autoZero"/>
        <c:crossBetween val="midCat"/>
      </c:valAx>
      <c:valAx>
        <c:axId val="2978396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8380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[0]!x_s6_c10</c:f>
              <c:numCache>
                <c:formatCode>General</c:formatCode>
                <c:ptCount val="7"/>
              </c:numCache>
            </c:numRef>
          </c:xVal>
          <c:yVal>
            <c:numRef>
              <c:f>[0]!y_s6_c10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852288"/>
        <c:axId val="297862272"/>
      </c:scatterChart>
      <c:valAx>
        <c:axId val="29785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862272"/>
        <c:crosses val="autoZero"/>
        <c:crossBetween val="midCat"/>
      </c:valAx>
      <c:valAx>
        <c:axId val="2978622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8522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[0]!x_s6_c9</c:f>
              <c:numCache>
                <c:formatCode>General</c:formatCode>
                <c:ptCount val="7"/>
              </c:numCache>
            </c:numRef>
          </c:xVal>
          <c:yVal>
            <c:numRef>
              <c:f>[0]!y_s6_c9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899136"/>
        <c:axId val="297900672"/>
      </c:scatterChart>
      <c:valAx>
        <c:axId val="29789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900672"/>
        <c:crosses val="autoZero"/>
        <c:crossBetween val="midCat"/>
      </c:valAx>
      <c:valAx>
        <c:axId val="2979006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8991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[0]!x_s6_c8</c:f>
              <c:numCache>
                <c:formatCode>General</c:formatCode>
                <c:ptCount val="8"/>
              </c:numCache>
            </c:numRef>
          </c:xVal>
          <c:yVal>
            <c:numRef>
              <c:f>[0]!y_s6_c8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921536"/>
        <c:axId val="297558784"/>
      </c:scatterChart>
      <c:valAx>
        <c:axId val="29792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558784"/>
        <c:crosses val="autoZero"/>
        <c:crossBetween val="midCat"/>
      </c:valAx>
      <c:valAx>
        <c:axId val="2975587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9215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[0]!x_s6_c7</c:f>
              <c:numCache>
                <c:formatCode>General</c:formatCode>
                <c:ptCount val="8"/>
              </c:numCache>
            </c:numRef>
          </c:xVal>
          <c:yVal>
            <c:numRef>
              <c:f>[0]!y_s6_c7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55776"/>
        <c:axId val="297757312"/>
      </c:scatterChart>
      <c:valAx>
        <c:axId val="29775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757312"/>
        <c:crosses val="autoZero"/>
        <c:crossBetween val="midCat"/>
      </c:valAx>
      <c:valAx>
        <c:axId val="2977573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7557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[0]!x_s6_c6</c:f>
              <c:numCache>
                <c:formatCode>General</c:formatCode>
                <c:ptCount val="8"/>
              </c:numCache>
            </c:numRef>
          </c:xVal>
          <c:yVal>
            <c:numRef>
              <c:f>[0]!y_s6_c6</c:f>
              <c:numCache>
                <c:formatCode>General</c:formatCode>
                <c:ptCount val="8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70976"/>
        <c:axId val="297485056"/>
      </c:scatterChart>
      <c:valAx>
        <c:axId val="29747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485056"/>
        <c:crosses val="autoZero"/>
        <c:crossBetween val="midCat"/>
      </c:valAx>
      <c:valAx>
        <c:axId val="2974850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4709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[0]!x_s6_c5</c:f>
              <c:numCache>
                <c:formatCode>General</c:formatCode>
                <c:ptCount val="7"/>
              </c:numCache>
            </c:numRef>
          </c:xVal>
          <c:yVal>
            <c:numRef>
              <c:f>[0]!y_s6_c5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579648"/>
        <c:axId val="297581184"/>
      </c:scatterChart>
      <c:valAx>
        <c:axId val="29757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581184"/>
        <c:crosses val="autoZero"/>
        <c:crossBetween val="midCat"/>
      </c:valAx>
      <c:valAx>
        <c:axId val="2975811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5796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[0]!x_s6_c4</c:f>
              <c:numCache>
                <c:formatCode>General</c:formatCode>
                <c:ptCount val="7"/>
              </c:numCache>
            </c:numRef>
          </c:xVal>
          <c:yVal>
            <c:numRef>
              <c:f>[0]!y_s6_c4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02048"/>
        <c:axId val="297620224"/>
      </c:scatterChart>
      <c:valAx>
        <c:axId val="29760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620224"/>
        <c:crosses val="autoZero"/>
        <c:crossBetween val="midCat"/>
      </c:valAx>
      <c:valAx>
        <c:axId val="2976202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6020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[0]!x_s6_c3</c:f>
              <c:numCache>
                <c:formatCode>General</c:formatCode>
                <c:ptCount val="7"/>
              </c:numCache>
            </c:numRef>
          </c:xVal>
          <c:yVal>
            <c:numRef>
              <c:f>[0]!y_s6_c3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41088"/>
        <c:axId val="297642624"/>
      </c:scatterChart>
      <c:valAx>
        <c:axId val="29764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642624"/>
        <c:crosses val="autoZero"/>
        <c:crossBetween val="midCat"/>
      </c:valAx>
      <c:valAx>
        <c:axId val="2976426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76410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[0]!x_s6_c2</c:f>
              <c:numCache>
                <c:formatCode>General</c:formatCode>
                <c:ptCount val="7"/>
              </c:numCache>
            </c:numRef>
          </c:xVal>
          <c:yVal>
            <c:numRef>
              <c:f>[0]!y_s6_c2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335232"/>
        <c:axId val="298337024"/>
      </c:scatterChart>
      <c:valAx>
        <c:axId val="29833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337024"/>
        <c:crosses val="autoZero"/>
        <c:crossBetween val="midCat"/>
      </c:valAx>
      <c:valAx>
        <c:axId val="2983370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83352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[0]!x_s6_c1</c:f>
              <c:numCache>
                <c:formatCode>General</c:formatCode>
                <c:ptCount val="7"/>
              </c:numCache>
            </c:numRef>
          </c:xVal>
          <c:yVal>
            <c:numRef>
              <c:f>[0]!y_s6_c1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374272"/>
        <c:axId val="298375808"/>
      </c:scatterChart>
      <c:valAx>
        <c:axId val="29837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375808"/>
        <c:crosses val="autoZero"/>
        <c:crossBetween val="midCat"/>
      </c:valAx>
      <c:valAx>
        <c:axId val="2983758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83742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6'!$S$3:$S$14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6'!$R$3:$R$14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016768"/>
        <c:axId val="298018304"/>
      </c:scatterChart>
      <c:valAx>
        <c:axId val="29801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018304"/>
        <c:crosses val="autoZero"/>
        <c:crossBetween val="midCat"/>
      </c:valAx>
      <c:valAx>
        <c:axId val="2980183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80167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[0]!x_s7_c12</c:f>
              <c:numCache>
                <c:formatCode>General</c:formatCode>
                <c:ptCount val="10"/>
              </c:numCache>
            </c:numRef>
          </c:xVal>
          <c:yVal>
            <c:numRef>
              <c:f>[0]!y_s7_c12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710912"/>
        <c:axId val="298712448"/>
      </c:scatterChart>
      <c:valAx>
        <c:axId val="29871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712448"/>
        <c:crosses val="autoZero"/>
        <c:crossBetween val="midCat"/>
      </c:valAx>
      <c:valAx>
        <c:axId val="2987124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87109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[0]!x_s7_c11</c:f>
              <c:numCache>
                <c:formatCode>General</c:formatCode>
                <c:ptCount val="10"/>
              </c:numCache>
            </c:numRef>
          </c:xVal>
          <c:yVal>
            <c:numRef>
              <c:f>[0]!y_s7_c11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643136"/>
        <c:axId val="285644672"/>
      </c:scatterChart>
      <c:valAx>
        <c:axId val="28564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644672"/>
        <c:crosses val="autoZero"/>
        <c:crossBetween val="midCat"/>
      </c:valAx>
      <c:valAx>
        <c:axId val="2856446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6431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[0]!x_s7_c10</c:f>
              <c:numCache>
                <c:formatCode>General</c:formatCode>
                <c:ptCount val="10"/>
              </c:numCache>
            </c:numRef>
          </c:xVal>
          <c:yVal>
            <c:numRef>
              <c:f>[0]!y_s7_c10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649856"/>
        <c:axId val="298655744"/>
      </c:scatterChart>
      <c:valAx>
        <c:axId val="29864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655744"/>
        <c:crosses val="autoZero"/>
        <c:crossBetween val="midCat"/>
      </c:valAx>
      <c:valAx>
        <c:axId val="2986557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86498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[0]!x_s7_c9</c:f>
              <c:numCache>
                <c:formatCode>General</c:formatCode>
                <c:ptCount val="10"/>
              </c:numCache>
            </c:numRef>
          </c:xVal>
          <c:yVal>
            <c:numRef>
              <c:f>[0]!y_s7_c9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696000"/>
        <c:axId val="285697536"/>
      </c:scatterChart>
      <c:valAx>
        <c:axId val="28569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697536"/>
        <c:crosses val="autoZero"/>
        <c:crossBetween val="midCat"/>
      </c:valAx>
      <c:valAx>
        <c:axId val="2856975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6960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[0]!x_s7_c8</c:f>
              <c:numCache>
                <c:formatCode>General</c:formatCode>
                <c:ptCount val="9"/>
              </c:numCache>
            </c:numRef>
          </c:xVal>
          <c:yVal>
            <c:numRef>
              <c:f>[0]!y_s7_c8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726592"/>
        <c:axId val="285728128"/>
      </c:scatterChart>
      <c:valAx>
        <c:axId val="28572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728128"/>
        <c:crosses val="autoZero"/>
        <c:crossBetween val="midCat"/>
      </c:valAx>
      <c:valAx>
        <c:axId val="2857281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857265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[0]!x_s7_c7</c:f>
              <c:numCache>
                <c:formatCode>General</c:formatCode>
                <c:ptCount val="9"/>
              </c:numCache>
            </c:numRef>
          </c:xVal>
          <c:yVal>
            <c:numRef>
              <c:f>[0]!y_s7_c7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741760"/>
        <c:axId val="298743296"/>
      </c:scatterChart>
      <c:valAx>
        <c:axId val="29874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743296"/>
        <c:crosses val="autoZero"/>
        <c:crossBetween val="midCat"/>
      </c:valAx>
      <c:valAx>
        <c:axId val="2987432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87417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[0]!x_s7_c6</c:f>
              <c:numCache>
                <c:formatCode>General</c:formatCode>
                <c:ptCount val="10"/>
              </c:numCache>
            </c:numRef>
          </c:xVal>
          <c:yVal>
            <c:numRef>
              <c:f>[0]!y_s7_c6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776448"/>
        <c:axId val="298777984"/>
      </c:scatterChart>
      <c:valAx>
        <c:axId val="29877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777984"/>
        <c:crosses val="autoZero"/>
        <c:crossBetween val="midCat"/>
      </c:valAx>
      <c:valAx>
        <c:axId val="2987779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87764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[0]!x_s7_c5</c:f>
              <c:numCache>
                <c:formatCode>General</c:formatCode>
                <c:ptCount val="10"/>
              </c:numCache>
            </c:numRef>
          </c:xVal>
          <c:yVal>
            <c:numRef>
              <c:f>[0]!y_s7_c5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371968"/>
        <c:axId val="300373504"/>
      </c:scatterChart>
      <c:valAx>
        <c:axId val="30037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373504"/>
        <c:crosses val="autoZero"/>
        <c:crossBetween val="midCat"/>
      </c:valAx>
      <c:valAx>
        <c:axId val="3003735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03719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[0]!x_s7_c4</c:f>
              <c:numCache>
                <c:formatCode>General</c:formatCode>
                <c:ptCount val="9"/>
              </c:numCache>
            </c:numRef>
          </c:xVal>
          <c:yVal>
            <c:numRef>
              <c:f>[0]!y_s7_c4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414848"/>
        <c:axId val="300416384"/>
      </c:scatterChart>
      <c:valAx>
        <c:axId val="30041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416384"/>
        <c:crosses val="autoZero"/>
        <c:crossBetween val="midCat"/>
      </c:valAx>
      <c:valAx>
        <c:axId val="3004163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04148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[0]!x_s7_c3</c:f>
              <c:numCache>
                <c:formatCode>General</c:formatCode>
                <c:ptCount val="9"/>
              </c:numCache>
            </c:numRef>
          </c:xVal>
          <c:yVal>
            <c:numRef>
              <c:f>[0]!y_s7_c3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76192"/>
        <c:axId val="301577728"/>
      </c:scatterChart>
      <c:valAx>
        <c:axId val="3015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577728"/>
        <c:crosses val="autoZero"/>
        <c:crossBetween val="midCat"/>
      </c:valAx>
      <c:valAx>
        <c:axId val="301577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15761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[0]!x_s7_c2</c:f>
              <c:numCache>
                <c:formatCode>General</c:formatCode>
                <c:ptCount val="10"/>
              </c:numCache>
            </c:numRef>
          </c:xVal>
          <c:yVal>
            <c:numRef>
              <c:f>[0]!y_s7_c2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02688"/>
        <c:axId val="301604224"/>
      </c:scatterChart>
      <c:valAx>
        <c:axId val="30160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604224"/>
        <c:crosses val="autoZero"/>
        <c:crossBetween val="midCat"/>
      </c:valAx>
      <c:valAx>
        <c:axId val="3016042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16026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[0]!x_s7_c1</c:f>
              <c:numCache>
                <c:formatCode>General</c:formatCode>
                <c:ptCount val="10"/>
              </c:numCache>
            </c:numRef>
          </c:xVal>
          <c:yVal>
            <c:numRef>
              <c:f>[0]!y_s7_c1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37632"/>
        <c:axId val="301639168"/>
      </c:scatterChart>
      <c:valAx>
        <c:axId val="30163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639168"/>
        <c:crosses val="autoZero"/>
        <c:crossBetween val="midCat"/>
      </c:valAx>
      <c:valAx>
        <c:axId val="3016391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16376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3967306718239167"/>
                  <c:y val="-3.8242656853822922E-2"/>
                </c:manualLayout>
              </c:layout>
              <c:numFmt formatCode="General" sourceLinked="0"/>
            </c:trendlineLbl>
          </c:trendline>
          <c:xVal>
            <c:numRef>
              <c:f>'Sensor 7'!$S$3:$S$14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7'!$R$3:$R$14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730432"/>
        <c:axId val="301736320"/>
      </c:scatterChart>
      <c:valAx>
        <c:axId val="30173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736320"/>
        <c:crosses val="autoZero"/>
        <c:crossBetween val="midCat"/>
      </c:valAx>
      <c:valAx>
        <c:axId val="3017363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17304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[0]!x_s8_c12</c:f>
              <c:numCache>
                <c:formatCode>General</c:formatCode>
                <c:ptCount val="10"/>
              </c:numCache>
            </c:numRef>
          </c:xVal>
          <c:yVal>
            <c:numRef>
              <c:f>[0]!y_s8_c12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054400"/>
        <c:axId val="298055936"/>
      </c:scatterChart>
      <c:valAx>
        <c:axId val="29805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055936"/>
        <c:crosses val="autoZero"/>
        <c:crossBetween val="midCat"/>
      </c:valAx>
      <c:valAx>
        <c:axId val="2980559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980544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[0]!x_s8_c11</c:f>
              <c:numCache>
                <c:formatCode>General</c:formatCode>
                <c:ptCount val="10"/>
              </c:numCache>
            </c:numRef>
          </c:xVal>
          <c:yVal>
            <c:numRef>
              <c:f>[0]!y_s8_c11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129280"/>
        <c:axId val="300131072"/>
      </c:scatterChart>
      <c:valAx>
        <c:axId val="30012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131072"/>
        <c:crosses val="autoZero"/>
        <c:crossBetween val="midCat"/>
      </c:valAx>
      <c:valAx>
        <c:axId val="3001310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01292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[0]!x_s8_c10</c:f>
              <c:numCache>
                <c:formatCode>General</c:formatCode>
                <c:ptCount val="9"/>
              </c:numCache>
            </c:numRef>
          </c:xVal>
          <c:yVal>
            <c:numRef>
              <c:f>[0]!y_s8_c10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761664"/>
        <c:axId val="301763200"/>
      </c:scatterChart>
      <c:valAx>
        <c:axId val="30176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763200"/>
        <c:crosses val="autoZero"/>
        <c:crossBetween val="midCat"/>
      </c:valAx>
      <c:valAx>
        <c:axId val="3017632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17616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[0]!x_s8_c9</c:f>
              <c:numCache>
                <c:formatCode>General</c:formatCode>
                <c:ptCount val="9"/>
              </c:numCache>
            </c:numRef>
          </c:xVal>
          <c:yVal>
            <c:numRef>
              <c:f>[0]!y_s8_c9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182144"/>
        <c:axId val="300183936"/>
      </c:scatterChart>
      <c:valAx>
        <c:axId val="30018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183936"/>
        <c:crosses val="autoZero"/>
        <c:crossBetween val="midCat"/>
      </c:valAx>
      <c:valAx>
        <c:axId val="3001839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01821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[0]!x_s8_c8</c:f>
              <c:numCache>
                <c:formatCode>General</c:formatCode>
                <c:ptCount val="11"/>
              </c:numCache>
            </c:numRef>
          </c:xVal>
          <c:yVal>
            <c:numRef>
              <c:f>[0]!y_s8_c8</c:f>
              <c:numCache>
                <c:formatCode>General</c:formatCode>
                <c:ptCount val="1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217088"/>
        <c:axId val="300218624"/>
      </c:scatterChart>
      <c:valAx>
        <c:axId val="30021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218624"/>
        <c:crosses val="autoZero"/>
        <c:crossBetween val="midCat"/>
      </c:valAx>
      <c:valAx>
        <c:axId val="3002186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02170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[0]!x_s8_c7</c:f>
              <c:numCache>
                <c:formatCode>General</c:formatCode>
                <c:ptCount val="10"/>
              </c:numCache>
            </c:numRef>
          </c:xVal>
          <c:yVal>
            <c:numRef>
              <c:f>[0]!y_s8_c7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243584"/>
        <c:axId val="300265856"/>
      </c:scatterChart>
      <c:valAx>
        <c:axId val="30024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265856"/>
        <c:crosses val="autoZero"/>
        <c:crossBetween val="midCat"/>
      </c:valAx>
      <c:valAx>
        <c:axId val="3002658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02435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[0]!x_s8_c6</c:f>
              <c:numCache>
                <c:formatCode>General</c:formatCode>
                <c:ptCount val="10"/>
              </c:numCache>
            </c:numRef>
          </c:xVal>
          <c:yVal>
            <c:numRef>
              <c:f>[0]!y_s8_c6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74400"/>
        <c:axId val="303175936"/>
      </c:scatterChart>
      <c:valAx>
        <c:axId val="30317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175936"/>
        <c:crosses val="autoZero"/>
        <c:crossBetween val="midCat"/>
      </c:valAx>
      <c:valAx>
        <c:axId val="3031759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31744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[0]!x_s8_c5</c:f>
              <c:numCache>
                <c:formatCode>General</c:formatCode>
                <c:ptCount val="10"/>
              </c:numCache>
            </c:numRef>
          </c:xVal>
          <c:yVal>
            <c:numRef>
              <c:f>[0]!y_s8_c5</c:f>
              <c:numCache>
                <c:formatCode>General</c:formatCode>
                <c:ptCount val="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88608"/>
        <c:axId val="303206784"/>
      </c:scatterChart>
      <c:valAx>
        <c:axId val="30318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206784"/>
        <c:crosses val="autoZero"/>
        <c:crossBetween val="midCat"/>
      </c:valAx>
      <c:valAx>
        <c:axId val="3032067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31886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[0]!x_s8_c4</c:f>
              <c:numCache>
                <c:formatCode>General</c:formatCode>
                <c:ptCount val="9"/>
              </c:numCache>
            </c:numRef>
          </c:xVal>
          <c:yVal>
            <c:numRef>
              <c:f>[0]!y_s8_c4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973696"/>
        <c:axId val="302975232"/>
      </c:scatterChart>
      <c:valAx>
        <c:axId val="30297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975232"/>
        <c:crosses val="autoZero"/>
        <c:crossBetween val="midCat"/>
      </c:valAx>
      <c:valAx>
        <c:axId val="3029752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29736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[0]!x_s8_c3</c:f>
              <c:numCache>
                <c:formatCode>General</c:formatCode>
                <c:ptCount val="9"/>
              </c:numCache>
            </c:numRef>
          </c:xVal>
          <c:yVal>
            <c:numRef>
              <c:f>[0]!y_s8_c3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04288"/>
        <c:axId val="303014272"/>
      </c:scatterChart>
      <c:valAx>
        <c:axId val="30300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014272"/>
        <c:crosses val="autoZero"/>
        <c:crossBetween val="midCat"/>
      </c:valAx>
      <c:valAx>
        <c:axId val="3030142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30042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[0]!x_s8_c2</c:f>
              <c:numCache>
                <c:formatCode>General</c:formatCode>
                <c:ptCount val="9"/>
              </c:numCache>
            </c:numRef>
          </c:xVal>
          <c:yVal>
            <c:numRef>
              <c:f>[0]!y_s8_c2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08864"/>
        <c:axId val="303110400"/>
      </c:scatterChart>
      <c:valAx>
        <c:axId val="30310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110400"/>
        <c:crosses val="autoZero"/>
        <c:crossBetween val="midCat"/>
      </c:valAx>
      <c:valAx>
        <c:axId val="3031104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31088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[0]!x_s8_c1</c:f>
              <c:numCache>
                <c:formatCode>General</c:formatCode>
                <c:ptCount val="9"/>
              </c:numCache>
            </c:numRef>
          </c:xVal>
          <c:yVal>
            <c:numRef>
              <c:f>[0]!y_s8_c1</c:f>
              <c:numCache>
                <c:formatCode>General</c:formatCode>
                <c:ptCount val="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59936"/>
        <c:axId val="303161728"/>
      </c:scatterChart>
      <c:valAx>
        <c:axId val="30315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161728"/>
        <c:crosses val="autoZero"/>
        <c:crossBetween val="midCat"/>
      </c:valAx>
      <c:valAx>
        <c:axId val="303161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31599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0458534788414606"/>
                  <c:y val="-8.3709888022791126E-2"/>
                </c:manualLayout>
              </c:layout>
              <c:numFmt formatCode="General" sourceLinked="0"/>
            </c:trendlineLbl>
          </c:trendline>
          <c:xVal>
            <c:numRef>
              <c:f>'Sensor 8'!$S$3:$S$14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8'!$R$3:$R$14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42112"/>
        <c:axId val="303643648"/>
      </c:scatterChart>
      <c:valAx>
        <c:axId val="30364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643648"/>
        <c:crosses val="autoZero"/>
        <c:crossBetween val="midCat"/>
      </c:valAx>
      <c:valAx>
        <c:axId val="3036436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36421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2212920753326886"/>
                  <c:y val="-7.9814822142207101E-2"/>
                </c:manualLayout>
              </c:layout>
              <c:numFmt formatCode="General" sourceLinked="0"/>
            </c:trendlineLbl>
          </c:trendline>
          <c:xVal>
            <c:numRef>
              <c:f>'averaged line fit'!$C$3:$C$14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'averaged line fit'!$B$3:$B$14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98304"/>
        <c:axId val="303699840"/>
      </c:scatterChart>
      <c:valAx>
        <c:axId val="3036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699840"/>
        <c:crosses val="autoZero"/>
        <c:crossBetween val="midCat"/>
      </c:valAx>
      <c:valAx>
        <c:axId val="3036998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036983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0.xml"/><Relationship Id="rId13" Type="http://schemas.openxmlformats.org/officeDocument/2006/relationships/chart" Target="../charts/chart65.xml"/><Relationship Id="rId3" Type="http://schemas.openxmlformats.org/officeDocument/2006/relationships/chart" Target="../charts/chart55.xml"/><Relationship Id="rId7" Type="http://schemas.openxmlformats.org/officeDocument/2006/relationships/chart" Target="../charts/chart59.xml"/><Relationship Id="rId12" Type="http://schemas.openxmlformats.org/officeDocument/2006/relationships/chart" Target="../charts/chart64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11" Type="http://schemas.openxmlformats.org/officeDocument/2006/relationships/chart" Target="../charts/chart63.xml"/><Relationship Id="rId5" Type="http://schemas.openxmlformats.org/officeDocument/2006/relationships/chart" Target="../charts/chart57.xml"/><Relationship Id="rId10" Type="http://schemas.openxmlformats.org/officeDocument/2006/relationships/chart" Target="../charts/chart62.xml"/><Relationship Id="rId4" Type="http://schemas.openxmlformats.org/officeDocument/2006/relationships/chart" Target="../charts/chart56.xml"/><Relationship Id="rId9" Type="http://schemas.openxmlformats.org/officeDocument/2006/relationships/chart" Target="../charts/chart6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13" Type="http://schemas.openxmlformats.org/officeDocument/2006/relationships/chart" Target="../charts/chart78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1.xml"/><Relationship Id="rId3" Type="http://schemas.openxmlformats.org/officeDocument/2006/relationships/chart" Target="../charts/chart81.xml"/><Relationship Id="rId7" Type="http://schemas.openxmlformats.org/officeDocument/2006/relationships/chart" Target="../charts/chart85.xml"/><Relationship Id="rId12" Type="http://schemas.openxmlformats.org/officeDocument/2006/relationships/chart" Target="../charts/chart90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6" Type="http://schemas.openxmlformats.org/officeDocument/2006/relationships/chart" Target="../charts/chart84.xml"/><Relationship Id="rId11" Type="http://schemas.openxmlformats.org/officeDocument/2006/relationships/chart" Target="../charts/chart89.xml"/><Relationship Id="rId5" Type="http://schemas.openxmlformats.org/officeDocument/2006/relationships/chart" Target="../charts/chart83.xml"/><Relationship Id="rId10" Type="http://schemas.openxmlformats.org/officeDocument/2006/relationships/chart" Target="../charts/chart88.xml"/><Relationship Id="rId4" Type="http://schemas.openxmlformats.org/officeDocument/2006/relationships/chart" Target="../charts/chart82.xml"/><Relationship Id="rId9" Type="http://schemas.openxmlformats.org/officeDocument/2006/relationships/chart" Target="../charts/chart8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9.xml"/><Relationship Id="rId13" Type="http://schemas.openxmlformats.org/officeDocument/2006/relationships/chart" Target="../charts/chart104.xml"/><Relationship Id="rId3" Type="http://schemas.openxmlformats.org/officeDocument/2006/relationships/chart" Target="../charts/chart94.xml"/><Relationship Id="rId7" Type="http://schemas.openxmlformats.org/officeDocument/2006/relationships/chart" Target="../charts/chart98.xml"/><Relationship Id="rId12" Type="http://schemas.openxmlformats.org/officeDocument/2006/relationships/chart" Target="../charts/chart103.xml"/><Relationship Id="rId2" Type="http://schemas.openxmlformats.org/officeDocument/2006/relationships/chart" Target="../charts/chart93.xml"/><Relationship Id="rId1" Type="http://schemas.openxmlformats.org/officeDocument/2006/relationships/chart" Target="../charts/chart92.xml"/><Relationship Id="rId6" Type="http://schemas.openxmlformats.org/officeDocument/2006/relationships/chart" Target="../charts/chart97.xml"/><Relationship Id="rId11" Type="http://schemas.openxmlformats.org/officeDocument/2006/relationships/chart" Target="../charts/chart102.xml"/><Relationship Id="rId5" Type="http://schemas.openxmlformats.org/officeDocument/2006/relationships/chart" Target="../charts/chart96.xml"/><Relationship Id="rId10" Type="http://schemas.openxmlformats.org/officeDocument/2006/relationships/chart" Target="../charts/chart101.xml"/><Relationship Id="rId4" Type="http://schemas.openxmlformats.org/officeDocument/2006/relationships/chart" Target="../charts/chart95.xml"/><Relationship Id="rId9" Type="http://schemas.openxmlformats.org/officeDocument/2006/relationships/chart" Target="../charts/chart10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371476</xdr:colOff>
      <xdr:row>36</xdr:row>
      <xdr:rowOff>9525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219075</xdr:colOff>
      <xdr:row>2</xdr:row>
      <xdr:rowOff>0</xdr:rowOff>
    </xdr:from>
    <xdr:to>
      <xdr:col>22</xdr:col>
      <xdr:colOff>561975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342900</xdr:colOff>
      <xdr:row>11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9"/>
  <sheetViews>
    <sheetView tabSelected="1" workbookViewId="0">
      <selection activeCell="A2" sqref="A2"/>
    </sheetView>
  </sheetViews>
  <sheetFormatPr defaultRowHeight="15" x14ac:dyDescent="0.25"/>
  <cols>
    <col min="1" max="1" width="28.5703125" bestFit="1" customWidth="1"/>
    <col min="2" max="2" width="6.85546875" bestFit="1" customWidth="1"/>
    <col min="3" max="3" width="7.5703125" bestFit="1" customWidth="1"/>
    <col min="4" max="4" width="9" bestFit="1" customWidth="1"/>
    <col min="5" max="5" width="4.7109375" bestFit="1" customWidth="1"/>
    <col min="6" max="7" width="12.7109375" bestFit="1" customWidth="1"/>
  </cols>
  <sheetData>
    <row r="1" spans="1:6" x14ac:dyDescent="0.25">
      <c r="A1" t="s">
        <v>13</v>
      </c>
      <c r="B1" t="s">
        <v>9</v>
      </c>
      <c r="C1" t="s">
        <v>10</v>
      </c>
      <c r="D1" t="s">
        <v>2</v>
      </c>
      <c r="E1" t="s">
        <v>3</v>
      </c>
      <c r="F1" t="s">
        <v>11</v>
      </c>
    </row>
    <row r="8" spans="1:6" x14ac:dyDescent="0.25">
      <c r="D8" s="1"/>
    </row>
    <row r="112" spans="4:4" x14ac:dyDescent="0.25">
      <c r="D112" s="1"/>
    </row>
    <row r="216" spans="4:4" x14ac:dyDescent="0.25">
      <c r="D216" s="1"/>
    </row>
    <row r="320" spans="4:4" x14ac:dyDescent="0.25">
      <c r="D320" s="1"/>
    </row>
    <row r="423" spans="4:4" x14ac:dyDescent="0.25">
      <c r="D423" s="1"/>
    </row>
    <row r="527" spans="4:4" x14ac:dyDescent="0.25">
      <c r="D527" s="1"/>
    </row>
    <row r="631" spans="4:4" x14ac:dyDescent="0.25">
      <c r="D631" s="1"/>
    </row>
    <row r="735" spans="4:4" x14ac:dyDescent="0.25">
      <c r="D735" s="1"/>
    </row>
    <row r="839" spans="4:4" x14ac:dyDescent="0.25">
      <c r="D839" s="1"/>
    </row>
    <row r="942" spans="4:4" x14ac:dyDescent="0.25">
      <c r="D942" s="1"/>
    </row>
    <row r="1045" spans="4:4" x14ac:dyDescent="0.25">
      <c r="D1045" s="1"/>
    </row>
    <row r="1149" spans="4:4" x14ac:dyDescent="0.25">
      <c r="D11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8"/>
  <sheetViews>
    <sheetView topLeftCell="M1" workbookViewId="0">
      <selection activeCell="AA5" sqref="AA5"/>
    </sheetView>
  </sheetViews>
  <sheetFormatPr defaultRowHeight="15" x14ac:dyDescent="0.25"/>
  <sheetData>
    <row r="1" spans="1:85" x14ac:dyDescent="0.25">
      <c r="AA1" t="s">
        <v>11</v>
      </c>
      <c r="AB1" t="s">
        <v>9</v>
      </c>
      <c r="AC1" t="s">
        <v>10</v>
      </c>
      <c r="AF1" t="s">
        <v>11</v>
      </c>
      <c r="AG1" t="s">
        <v>9</v>
      </c>
      <c r="AH1" t="s">
        <v>10</v>
      </c>
      <c r="AK1" t="s">
        <v>11</v>
      </c>
      <c r="AL1" t="s">
        <v>9</v>
      </c>
      <c r="AM1" t="s">
        <v>10</v>
      </c>
      <c r="AP1" t="s">
        <v>11</v>
      </c>
      <c r="AQ1" t="s">
        <v>9</v>
      </c>
      <c r="AR1" t="s">
        <v>10</v>
      </c>
      <c r="AU1" t="s">
        <v>11</v>
      </c>
      <c r="AV1" t="s">
        <v>9</v>
      </c>
      <c r="AW1" t="s">
        <v>10</v>
      </c>
      <c r="AZ1" t="s">
        <v>11</v>
      </c>
      <c r="BA1" t="s">
        <v>9</v>
      </c>
      <c r="BB1" t="s">
        <v>10</v>
      </c>
      <c r="BE1" t="s">
        <v>11</v>
      </c>
      <c r="BF1" t="s">
        <v>9</v>
      </c>
      <c r="BG1" t="s">
        <v>10</v>
      </c>
      <c r="BJ1" t="s">
        <v>11</v>
      </c>
      <c r="BK1" t="s">
        <v>9</v>
      </c>
      <c r="BL1" t="s">
        <v>10</v>
      </c>
      <c r="BO1" t="s">
        <v>11</v>
      </c>
      <c r="BP1" t="s">
        <v>9</v>
      </c>
      <c r="BQ1" t="s">
        <v>10</v>
      </c>
      <c r="BT1" t="s">
        <v>11</v>
      </c>
      <c r="BU1" t="s">
        <v>9</v>
      </c>
      <c r="BV1" t="s">
        <v>10</v>
      </c>
      <c r="BY1" t="s">
        <v>11</v>
      </c>
      <c r="BZ1" t="s">
        <v>9</v>
      </c>
      <c r="CA1" t="s">
        <v>10</v>
      </c>
      <c r="CD1" t="s">
        <v>11</v>
      </c>
      <c r="CE1" t="s">
        <v>9</v>
      </c>
      <c r="CF1" t="s">
        <v>10</v>
      </c>
    </row>
    <row r="2" spans="1:85" x14ac:dyDescent="0.25">
      <c r="R2" t="s">
        <v>2</v>
      </c>
      <c r="S2" t="s">
        <v>3</v>
      </c>
      <c r="AA2" t="s">
        <v>12</v>
      </c>
      <c r="AB2">
        <v>0</v>
      </c>
      <c r="AC2">
        <v>11</v>
      </c>
      <c r="AF2" t="s">
        <v>12</v>
      </c>
      <c r="AG2">
        <v>0</v>
      </c>
      <c r="AH2">
        <v>10</v>
      </c>
      <c r="AK2" t="s">
        <v>12</v>
      </c>
      <c r="AL2">
        <v>0</v>
      </c>
      <c r="AM2">
        <v>9</v>
      </c>
      <c r="AP2" t="s">
        <v>12</v>
      </c>
      <c r="AQ2">
        <v>0</v>
      </c>
      <c r="AR2">
        <v>8</v>
      </c>
      <c r="AU2" t="s">
        <v>12</v>
      </c>
      <c r="AV2">
        <v>0</v>
      </c>
      <c r="AW2">
        <v>7</v>
      </c>
      <c r="AZ2" t="s">
        <v>12</v>
      </c>
      <c r="BA2">
        <v>0</v>
      </c>
      <c r="BB2">
        <v>6</v>
      </c>
      <c r="BE2" t="s">
        <v>12</v>
      </c>
      <c r="BF2">
        <v>0</v>
      </c>
      <c r="BG2">
        <v>5</v>
      </c>
      <c r="BJ2" t="s">
        <v>12</v>
      </c>
      <c r="BK2">
        <v>0</v>
      </c>
      <c r="BL2">
        <v>4</v>
      </c>
      <c r="BO2" t="s">
        <v>12</v>
      </c>
      <c r="BP2">
        <v>0</v>
      </c>
      <c r="BQ2">
        <v>3</v>
      </c>
      <c r="BT2" t="s">
        <v>12</v>
      </c>
      <c r="BU2">
        <v>0</v>
      </c>
      <c r="BV2">
        <v>2</v>
      </c>
      <c r="BY2" t="s">
        <v>12</v>
      </c>
      <c r="BZ2">
        <v>0</v>
      </c>
      <c r="CA2">
        <v>1</v>
      </c>
      <c r="CD2" t="s">
        <v>12</v>
      </c>
      <c r="CE2">
        <v>0</v>
      </c>
      <c r="CF2">
        <v>0</v>
      </c>
    </row>
    <row r="3" spans="1:85" x14ac:dyDescent="0.25">
      <c r="R3" t="e">
        <f>B12</f>
        <v>#VALUE!</v>
      </c>
      <c r="S3">
        <v>-99</v>
      </c>
    </row>
    <row r="4" spans="1:85" x14ac:dyDescent="0.25">
      <c r="R4" t="e">
        <f>B25</f>
        <v>#VALUE!</v>
      </c>
      <c r="S4">
        <v>-90</v>
      </c>
      <c r="AA4" t="s">
        <v>9</v>
      </c>
      <c r="AB4" t="s">
        <v>10</v>
      </c>
      <c r="AC4" t="s">
        <v>2</v>
      </c>
      <c r="AD4" t="s">
        <v>11</v>
      </c>
      <c r="AF4" t="s">
        <v>9</v>
      </c>
      <c r="AG4" t="s">
        <v>10</v>
      </c>
      <c r="AH4" t="s">
        <v>2</v>
      </c>
      <c r="AI4" t="s">
        <v>11</v>
      </c>
      <c r="AK4" t="s">
        <v>9</v>
      </c>
      <c r="AL4" t="s">
        <v>10</v>
      </c>
      <c r="AM4" t="s">
        <v>2</v>
      </c>
      <c r="AN4" t="s">
        <v>11</v>
      </c>
      <c r="AP4" t="s">
        <v>9</v>
      </c>
      <c r="AQ4" t="s">
        <v>10</v>
      </c>
      <c r="AR4" t="s">
        <v>2</v>
      </c>
      <c r="AS4" t="s">
        <v>11</v>
      </c>
      <c r="AU4" t="s">
        <v>9</v>
      </c>
      <c r="AV4" t="s">
        <v>10</v>
      </c>
      <c r="AW4" t="s">
        <v>2</v>
      </c>
      <c r="AX4" t="s">
        <v>11</v>
      </c>
      <c r="AZ4" t="s">
        <v>9</v>
      </c>
      <c r="BA4" t="s">
        <v>10</v>
      </c>
      <c r="BB4" t="s">
        <v>2</v>
      </c>
      <c r="BC4" t="s">
        <v>11</v>
      </c>
      <c r="BE4" t="s">
        <v>9</v>
      </c>
      <c r="BF4" t="s">
        <v>10</v>
      </c>
      <c r="BG4" t="s">
        <v>2</v>
      </c>
      <c r="BH4" t="s">
        <v>11</v>
      </c>
      <c r="BJ4" t="s">
        <v>9</v>
      </c>
      <c r="BK4" t="s">
        <v>10</v>
      </c>
      <c r="BL4" t="s">
        <v>2</v>
      </c>
      <c r="BM4" t="s">
        <v>11</v>
      </c>
      <c r="BO4" t="s">
        <v>9</v>
      </c>
      <c r="BP4" t="s">
        <v>10</v>
      </c>
      <c r="BQ4" t="s">
        <v>2</v>
      </c>
      <c r="BR4" t="s">
        <v>11</v>
      </c>
      <c r="BT4" t="s">
        <v>9</v>
      </c>
      <c r="BU4" t="s">
        <v>10</v>
      </c>
      <c r="BV4" t="s">
        <v>2</v>
      </c>
      <c r="BW4" t="s">
        <v>11</v>
      </c>
      <c r="BY4" t="s">
        <v>9</v>
      </c>
      <c r="BZ4" t="s">
        <v>10</v>
      </c>
      <c r="CA4" t="s">
        <v>2</v>
      </c>
      <c r="CB4" t="s">
        <v>11</v>
      </c>
      <c r="CD4" t="s">
        <v>9</v>
      </c>
      <c r="CE4" t="s">
        <v>10</v>
      </c>
      <c r="CF4" t="s">
        <v>2</v>
      </c>
      <c r="CG4" t="s">
        <v>11</v>
      </c>
    </row>
    <row r="5" spans="1:85" x14ac:dyDescent="0.25">
      <c r="R5" t="e">
        <f>B38</f>
        <v>#VALUE!</v>
      </c>
      <c r="S5">
        <v>-81</v>
      </c>
    </row>
    <row r="6" spans="1:85" x14ac:dyDescent="0.25">
      <c r="R6" t="e">
        <f>F12</f>
        <v>#VALUE!</v>
      </c>
      <c r="S6">
        <v>-72</v>
      </c>
    </row>
    <row r="7" spans="1:85" x14ac:dyDescent="0.25">
      <c r="R7" t="e">
        <f>F25</f>
        <v>#VALUE!</v>
      </c>
      <c r="S7">
        <v>-63</v>
      </c>
    </row>
    <row r="8" spans="1:85" x14ac:dyDescent="0.25">
      <c r="R8" t="e">
        <f>F38</f>
        <v>#VALUE!</v>
      </c>
      <c r="S8">
        <v>-54</v>
      </c>
    </row>
    <row r="9" spans="1:85" x14ac:dyDescent="0.25">
      <c r="R9" t="e">
        <f>J12</f>
        <v>#VALUE!</v>
      </c>
      <c r="S9">
        <v>-45</v>
      </c>
    </row>
    <row r="10" spans="1:85" x14ac:dyDescent="0.25">
      <c r="R10" t="e">
        <f>J25</f>
        <v>#VALUE!</v>
      </c>
      <c r="S10">
        <v>-36</v>
      </c>
      <c r="BQ10" s="1"/>
      <c r="BV10" s="1"/>
      <c r="CA10" s="1"/>
      <c r="CF10" s="1"/>
    </row>
    <row r="11" spans="1:85" x14ac:dyDescent="0.25">
      <c r="B11" t="e">
        <f>INDEX(LINEST([0]!y_s1_c12,[0]!x_s1_c12^{1,2}),1)</f>
        <v>#VALUE!</v>
      </c>
      <c r="C11" t="e">
        <f>INDEX(LINEST([0]!y_s1_c12,[0]!x_s1_c12^{1,2}),1,2)</f>
        <v>#VALUE!</v>
      </c>
      <c r="F11" t="e">
        <f>INDEX(LINEST([0]!y_s1_c9,[0]!x_s1_c9^{1,2}),1)</f>
        <v>#VALUE!</v>
      </c>
      <c r="G11" t="e">
        <f>INDEX(LINEST([0]!y_s1_c9,[0]!x_s1_c9^{1,2}),1,2)</f>
        <v>#VALUE!</v>
      </c>
      <c r="J11" t="e">
        <f>INDEX(LINEST([0]!y_s1_c6,[0]!x_s1_c6^{1,2}),1)</f>
        <v>#VALUE!</v>
      </c>
      <c r="K11" t="e">
        <f>INDEX(LINEST([0]!y_s1_c6,[0]!x_s1_c6^{1,2}),1,2)</f>
        <v>#VALUE!</v>
      </c>
      <c r="N11" t="e">
        <f>INDEX(LINEST([0]!y_s1_c3,[0]!x_s1_c3^{1,2}),1)</f>
        <v>#VALUE!</v>
      </c>
      <c r="O11" t="e">
        <f>INDEX(LINEST([0]!y_s1_c3,[0]!x_s1_c3^{1,2}),1,2)</f>
        <v>#VALUE!</v>
      </c>
      <c r="R11" t="e">
        <f>J38</f>
        <v>#VALUE!</v>
      </c>
      <c r="S11">
        <v>-27</v>
      </c>
      <c r="AC11" s="1"/>
      <c r="AH11" s="1"/>
      <c r="AM11" s="1"/>
      <c r="AR11" s="1"/>
      <c r="AW11" s="1"/>
      <c r="BB11" s="1"/>
      <c r="BG11" s="1"/>
      <c r="BL11" s="1"/>
    </row>
    <row r="12" spans="1:85" x14ac:dyDescent="0.25">
      <c r="A12" t="s">
        <v>0</v>
      </c>
      <c r="B12" t="e">
        <f>-C11/(2*B11)</f>
        <v>#VALUE!</v>
      </c>
      <c r="E12" t="s">
        <v>0</v>
      </c>
      <c r="F12" t="e">
        <f>-G11/(2*F11)</f>
        <v>#VALUE!</v>
      </c>
      <c r="I12" t="s">
        <v>1</v>
      </c>
      <c r="J12" t="e">
        <f>-K11/(2*J11)</f>
        <v>#VALUE!</v>
      </c>
      <c r="M12" t="s">
        <v>1</v>
      </c>
      <c r="N12" t="e">
        <f>-O11/(2*N11)</f>
        <v>#VALUE!</v>
      </c>
      <c r="R12" t="e">
        <f>N12</f>
        <v>#VALUE!</v>
      </c>
      <c r="S12">
        <v>-18</v>
      </c>
    </row>
    <row r="13" spans="1:85" x14ac:dyDescent="0.25">
      <c r="R13" t="e">
        <f>N25</f>
        <v>#VALUE!</v>
      </c>
      <c r="S13">
        <v>-9</v>
      </c>
    </row>
    <row r="14" spans="1:85" x14ac:dyDescent="0.25">
      <c r="R14" t="e">
        <f>N38</f>
        <v>#VALUE!</v>
      </c>
      <c r="S14">
        <v>0</v>
      </c>
    </row>
    <row r="17" spans="1:23" x14ac:dyDescent="0.25">
      <c r="R17" t="s">
        <v>4</v>
      </c>
      <c r="S17" t="e">
        <f>SLOPE(R3:R14,S3:S14)</f>
        <v>#VALUE!</v>
      </c>
      <c r="U17" t="s">
        <v>15</v>
      </c>
      <c r="V17" t="e">
        <f>(180 * ATAN(S17) / PI())</f>
        <v>#VALUE!</v>
      </c>
      <c r="W17" t="s">
        <v>6</v>
      </c>
    </row>
    <row r="18" spans="1:23" x14ac:dyDescent="0.25">
      <c r="R18" t="s">
        <v>5</v>
      </c>
      <c r="S18" t="e">
        <f>INTERCEPT(R3:R14,S3:S14)</f>
        <v>#VALUE!</v>
      </c>
    </row>
    <row r="24" spans="1:23" x14ac:dyDescent="0.25">
      <c r="B24" t="e">
        <f>INDEX(LINEST([0]!y_s1_c11,[0]!x_s1_c11^{1,2}),1)</f>
        <v>#VALUE!</v>
      </c>
      <c r="C24" t="e">
        <f>INDEX(LINEST([0]!y_s1_c11,[0]!x_s1_c11^{1,2}),1,2)</f>
        <v>#VALUE!</v>
      </c>
      <c r="F24" t="e">
        <f>INDEX(LINEST([0]!y_s1_c8,[0]!x_s1_c8^{1,2}),1)</f>
        <v>#VALUE!</v>
      </c>
      <c r="G24" t="e">
        <f>INDEX(LINEST([0]!y_s1_c8,[0]!x_s1_c8^{1,2}),1,2)</f>
        <v>#VALUE!</v>
      </c>
      <c r="J24" t="e">
        <f>INDEX(LINEST([0]!y_s1_c5,[0]!x_s1_c5^{1,2}),1)</f>
        <v>#VALUE!</v>
      </c>
      <c r="K24" t="e">
        <f>INDEX(LINEST([0]!y_s1_c5,[0]!x_s1_c5^{1,2}),1,2)</f>
        <v>#VALUE!</v>
      </c>
      <c r="N24" t="e">
        <f>INDEX(LINEST([0]!y_s1_c2,[0]!x_s1_c2^{1,2}),1)</f>
        <v>#VALUE!</v>
      </c>
      <c r="O24" t="e">
        <f>INDEX(LINEST([0]!y_s1_c2,[0]!x_s1_c2^{1,2}),1,2)</f>
        <v>#VALUE!</v>
      </c>
    </row>
    <row r="25" spans="1:23" x14ac:dyDescent="0.25">
      <c r="A25" t="s">
        <v>0</v>
      </c>
      <c r="B25" t="e">
        <f>-C24/(2*B24)</f>
        <v>#VALUE!</v>
      </c>
      <c r="E25" t="s">
        <v>0</v>
      </c>
      <c r="F25" t="e">
        <f>-G24/(2*F24)</f>
        <v>#VALUE!</v>
      </c>
      <c r="I25" t="s">
        <v>0</v>
      </c>
      <c r="J25" t="e">
        <f>-K24/(2*J24)</f>
        <v>#VALUE!</v>
      </c>
      <c r="M25" t="s">
        <v>0</v>
      </c>
      <c r="N25" t="e">
        <f>-O24/(2*N24)</f>
        <v>#VALUE!</v>
      </c>
    </row>
    <row r="37" spans="1:15" x14ac:dyDescent="0.25">
      <c r="B37" t="e">
        <f>INDEX(LINEST([0]!y_s1_c10,[0]!x_s1_c10^{1,2}),1)</f>
        <v>#VALUE!</v>
      </c>
      <c r="C37" t="e">
        <f>INDEX(LINEST([0]!y_s1_c10,[0]!x_s1_c10^{1,2}),1,2)</f>
        <v>#VALUE!</v>
      </c>
      <c r="F37" t="e">
        <f>INDEX(LINEST([0]!y_s1_c7,[0]!x_s1_c7^{1,2}),1)</f>
        <v>#VALUE!</v>
      </c>
      <c r="G37" t="e">
        <f>INDEX(LINEST([0]!y_s1_c7,[0]!x_s1_c7^{1,2}),1,2)</f>
        <v>#VALUE!</v>
      </c>
      <c r="J37" t="e">
        <f>INDEX(LINEST([0]!y_s1_c4,[0]!x_s1_c4^{1,2}),1)</f>
        <v>#VALUE!</v>
      </c>
      <c r="K37" t="e">
        <f>INDEX(LINEST([0]!y_s1_c4,[0]!x_s1_c4^{1,2}),1,2)</f>
        <v>#VALUE!</v>
      </c>
      <c r="N37" t="e">
        <f>INDEX(LINEST([0]!y_s1_c1,[0]!x_s1_c1^{1,2}),1)</f>
        <v>#VALUE!</v>
      </c>
      <c r="O37" t="e">
        <f>INDEX(LINEST([0]!y_s1_c1,[0]!x_s1_c1^{1,2}),1,2)</f>
        <v>#VALUE!</v>
      </c>
    </row>
    <row r="38" spans="1:15" x14ac:dyDescent="0.25">
      <c r="A38" t="s">
        <v>1</v>
      </c>
      <c r="B38" t="e">
        <f>-C37/(2*B37)</f>
        <v>#VALUE!</v>
      </c>
      <c r="E38" t="s">
        <v>1</v>
      </c>
      <c r="F38" t="e">
        <f>-G37/(2*F37)</f>
        <v>#VALUE!</v>
      </c>
      <c r="I38" t="s">
        <v>0</v>
      </c>
      <c r="J38" t="e">
        <f>-K37/(2*J37)</f>
        <v>#VALUE!</v>
      </c>
      <c r="M38" t="s">
        <v>0</v>
      </c>
      <c r="N38" t="e">
        <f>-O37/(2*N37)</f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8"/>
  <sheetViews>
    <sheetView topLeftCell="M1" workbookViewId="0">
      <selection activeCell="AA5" sqref="AA5:CG38"/>
    </sheetView>
  </sheetViews>
  <sheetFormatPr defaultRowHeight="15" x14ac:dyDescent="0.25"/>
  <sheetData>
    <row r="1" spans="1:85" x14ac:dyDescent="0.25">
      <c r="AA1" t="s">
        <v>11</v>
      </c>
      <c r="AB1" t="s">
        <v>9</v>
      </c>
      <c r="AC1" t="s">
        <v>10</v>
      </c>
      <c r="AF1" t="s">
        <v>11</v>
      </c>
      <c r="AG1" t="s">
        <v>9</v>
      </c>
      <c r="AH1" t="s">
        <v>10</v>
      </c>
      <c r="AK1" t="s">
        <v>11</v>
      </c>
      <c r="AL1" t="s">
        <v>9</v>
      </c>
      <c r="AM1" t="s">
        <v>10</v>
      </c>
      <c r="AP1" t="s">
        <v>11</v>
      </c>
      <c r="AQ1" t="s">
        <v>9</v>
      </c>
      <c r="AR1" t="s">
        <v>10</v>
      </c>
      <c r="AU1" t="s">
        <v>11</v>
      </c>
      <c r="AV1" t="s">
        <v>9</v>
      </c>
      <c r="AW1" t="s">
        <v>10</v>
      </c>
      <c r="AZ1" t="s">
        <v>11</v>
      </c>
      <c r="BA1" t="s">
        <v>9</v>
      </c>
      <c r="BB1" t="s">
        <v>10</v>
      </c>
      <c r="BE1" t="s">
        <v>11</v>
      </c>
      <c r="BF1" t="s">
        <v>9</v>
      </c>
      <c r="BG1" t="s">
        <v>10</v>
      </c>
      <c r="BJ1" t="s">
        <v>11</v>
      </c>
      <c r="BK1" t="s">
        <v>9</v>
      </c>
      <c r="BL1" t="s">
        <v>10</v>
      </c>
      <c r="BO1" t="s">
        <v>11</v>
      </c>
      <c r="BP1" t="s">
        <v>9</v>
      </c>
      <c r="BQ1" t="s">
        <v>10</v>
      </c>
      <c r="BT1" t="s">
        <v>11</v>
      </c>
      <c r="BU1" t="s">
        <v>9</v>
      </c>
      <c r="BV1" t="s">
        <v>10</v>
      </c>
      <c r="BY1" t="s">
        <v>11</v>
      </c>
      <c r="BZ1" t="s">
        <v>9</v>
      </c>
      <c r="CA1" t="s">
        <v>10</v>
      </c>
      <c r="CD1" t="s">
        <v>11</v>
      </c>
      <c r="CE1" t="s">
        <v>9</v>
      </c>
      <c r="CF1" t="s">
        <v>10</v>
      </c>
    </row>
    <row r="2" spans="1:85" x14ac:dyDescent="0.25">
      <c r="R2" t="s">
        <v>2</v>
      </c>
      <c r="S2" t="s">
        <v>3</v>
      </c>
      <c r="AA2" t="s">
        <v>12</v>
      </c>
      <c r="AB2">
        <v>1</v>
      </c>
      <c r="AC2">
        <v>11</v>
      </c>
      <c r="AF2" t="s">
        <v>12</v>
      </c>
      <c r="AG2">
        <v>1</v>
      </c>
      <c r="AH2">
        <v>10</v>
      </c>
      <c r="AK2" t="s">
        <v>12</v>
      </c>
      <c r="AL2">
        <v>1</v>
      </c>
      <c r="AM2">
        <v>9</v>
      </c>
      <c r="AP2" t="s">
        <v>12</v>
      </c>
      <c r="AQ2">
        <v>1</v>
      </c>
      <c r="AR2">
        <v>8</v>
      </c>
      <c r="AU2" t="s">
        <v>12</v>
      </c>
      <c r="AV2">
        <v>1</v>
      </c>
      <c r="AW2">
        <v>7</v>
      </c>
      <c r="AZ2" t="s">
        <v>12</v>
      </c>
      <c r="BA2">
        <v>1</v>
      </c>
      <c r="BB2">
        <v>6</v>
      </c>
      <c r="BE2" t="s">
        <v>12</v>
      </c>
      <c r="BF2">
        <v>1</v>
      </c>
      <c r="BG2">
        <v>5</v>
      </c>
      <c r="BJ2" t="s">
        <v>12</v>
      </c>
      <c r="BK2">
        <v>1</v>
      </c>
      <c r="BL2">
        <v>4</v>
      </c>
      <c r="BO2" t="s">
        <v>12</v>
      </c>
      <c r="BP2">
        <v>1</v>
      </c>
      <c r="BQ2">
        <v>3</v>
      </c>
      <c r="BT2" t="s">
        <v>12</v>
      </c>
      <c r="BU2">
        <v>1</v>
      </c>
      <c r="BV2">
        <v>2</v>
      </c>
      <c r="BY2" t="s">
        <v>12</v>
      </c>
      <c r="BZ2">
        <v>1</v>
      </c>
      <c r="CA2">
        <v>1</v>
      </c>
      <c r="CD2" t="s">
        <v>12</v>
      </c>
      <c r="CE2">
        <v>1</v>
      </c>
      <c r="CF2">
        <v>0</v>
      </c>
    </row>
    <row r="3" spans="1:85" x14ac:dyDescent="0.25">
      <c r="R3" t="e">
        <f>B12</f>
        <v>#VALUE!</v>
      </c>
      <c r="S3">
        <v>-99</v>
      </c>
    </row>
    <row r="4" spans="1:85" x14ac:dyDescent="0.25">
      <c r="R4" t="e">
        <f>B25</f>
        <v>#VALUE!</v>
      </c>
      <c r="S4">
        <v>-90</v>
      </c>
      <c r="AA4" t="s">
        <v>9</v>
      </c>
      <c r="AB4" t="s">
        <v>10</v>
      </c>
      <c r="AC4" t="s">
        <v>2</v>
      </c>
      <c r="AD4" t="s">
        <v>11</v>
      </c>
      <c r="AF4" t="s">
        <v>9</v>
      </c>
      <c r="AG4" t="s">
        <v>10</v>
      </c>
      <c r="AH4" t="s">
        <v>2</v>
      </c>
      <c r="AI4" t="s">
        <v>11</v>
      </c>
      <c r="AK4" t="s">
        <v>9</v>
      </c>
      <c r="AL4" t="s">
        <v>10</v>
      </c>
      <c r="AM4" t="s">
        <v>2</v>
      </c>
      <c r="AN4" t="s">
        <v>11</v>
      </c>
      <c r="AP4" t="s">
        <v>9</v>
      </c>
      <c r="AQ4" t="s">
        <v>10</v>
      </c>
      <c r="AR4" t="s">
        <v>2</v>
      </c>
      <c r="AS4" t="s">
        <v>11</v>
      </c>
      <c r="AU4" t="s">
        <v>9</v>
      </c>
      <c r="AV4" t="s">
        <v>10</v>
      </c>
      <c r="AW4" t="s">
        <v>2</v>
      </c>
      <c r="AX4" t="s">
        <v>11</v>
      </c>
      <c r="AZ4" t="s">
        <v>9</v>
      </c>
      <c r="BA4" t="s">
        <v>10</v>
      </c>
      <c r="BB4" t="s">
        <v>2</v>
      </c>
      <c r="BC4" t="s">
        <v>11</v>
      </c>
      <c r="BE4" t="s">
        <v>9</v>
      </c>
      <c r="BF4" t="s">
        <v>10</v>
      </c>
      <c r="BG4" t="s">
        <v>2</v>
      </c>
      <c r="BH4" t="s">
        <v>11</v>
      </c>
      <c r="BJ4" t="s">
        <v>9</v>
      </c>
      <c r="BK4" t="s">
        <v>10</v>
      </c>
      <c r="BL4" t="s">
        <v>2</v>
      </c>
      <c r="BM4" t="s">
        <v>11</v>
      </c>
      <c r="BO4" t="s">
        <v>9</v>
      </c>
      <c r="BP4" t="s">
        <v>10</v>
      </c>
      <c r="BQ4" t="s">
        <v>2</v>
      </c>
      <c r="BR4" t="s">
        <v>11</v>
      </c>
      <c r="BT4" t="s">
        <v>9</v>
      </c>
      <c r="BU4" t="s">
        <v>10</v>
      </c>
      <c r="BV4" t="s">
        <v>2</v>
      </c>
      <c r="BW4" t="s">
        <v>11</v>
      </c>
      <c r="BY4" t="s">
        <v>9</v>
      </c>
      <c r="BZ4" t="s">
        <v>10</v>
      </c>
      <c r="CA4" t="s">
        <v>2</v>
      </c>
      <c r="CB4" t="s">
        <v>11</v>
      </c>
      <c r="CD4" t="s">
        <v>9</v>
      </c>
      <c r="CE4" t="s">
        <v>10</v>
      </c>
      <c r="CF4" t="s">
        <v>2</v>
      </c>
      <c r="CG4" t="s">
        <v>11</v>
      </c>
    </row>
    <row r="5" spans="1:85" x14ac:dyDescent="0.25">
      <c r="R5" t="e">
        <f>B38</f>
        <v>#VALUE!</v>
      </c>
      <c r="S5">
        <v>-81</v>
      </c>
    </row>
    <row r="6" spans="1:85" x14ac:dyDescent="0.25">
      <c r="R6" t="e">
        <f>F12</f>
        <v>#VALUE!</v>
      </c>
      <c r="S6">
        <v>-72</v>
      </c>
    </row>
    <row r="7" spans="1:85" x14ac:dyDescent="0.25">
      <c r="R7" t="e">
        <f>F25</f>
        <v>#VALUE!</v>
      </c>
      <c r="S7">
        <v>-63</v>
      </c>
    </row>
    <row r="8" spans="1:85" x14ac:dyDescent="0.25">
      <c r="R8" t="e">
        <f>F38</f>
        <v>#VALUE!</v>
      </c>
      <c r="S8">
        <v>-54</v>
      </c>
    </row>
    <row r="9" spans="1:85" x14ac:dyDescent="0.25">
      <c r="R9" t="e">
        <f>J12</f>
        <v>#VALUE!</v>
      </c>
      <c r="S9">
        <v>-45</v>
      </c>
    </row>
    <row r="10" spans="1:85" x14ac:dyDescent="0.25">
      <c r="R10" t="e">
        <f>J25</f>
        <v>#VALUE!</v>
      </c>
      <c r="S10">
        <v>-36</v>
      </c>
    </row>
    <row r="11" spans="1:85" x14ac:dyDescent="0.25">
      <c r="B11" t="e">
        <f>INDEX(LINEST([0]!y_s2_c12,[0]!x_s2_c12^{1,2}),1)</f>
        <v>#VALUE!</v>
      </c>
      <c r="C11" t="e">
        <f>INDEX(LINEST([0]!y_s2_c12,[0]!x_s2_c12^{1,2}),1,2)</f>
        <v>#VALUE!</v>
      </c>
      <c r="F11" t="e">
        <f>INDEX(LINEST([0]!y_s2_c9,[0]!x_s2_c9^{1,2}),1)</f>
        <v>#VALUE!</v>
      </c>
      <c r="G11" t="e">
        <f>INDEX(LINEST([0]!y_s2_c9,[0]!x_s2_c9^{1,2}),1,2)</f>
        <v>#VALUE!</v>
      </c>
      <c r="J11" t="e">
        <f>INDEX(LINEST([0]!y_s2_c6,[0]!x_s2_c6^{1,2}),1)</f>
        <v>#VALUE!</v>
      </c>
      <c r="K11" t="e">
        <f>INDEX(LINEST([0]!y_s2_c6,[0]!x_s2_c6^{1,2}),1,2)</f>
        <v>#VALUE!</v>
      </c>
      <c r="N11" t="e">
        <f>INDEX(LINEST([0]!y_s2_c3,[0]!x_s2_c3^{1,2}),1)</f>
        <v>#VALUE!</v>
      </c>
      <c r="O11" t="e">
        <f>INDEX(LINEST([0]!y_s2_c3,[0]!x_s2_c3^{1,2}),1,2)</f>
        <v>#VALUE!</v>
      </c>
      <c r="R11" t="e">
        <f>J38</f>
        <v>#VALUE!</v>
      </c>
      <c r="S11">
        <v>-27</v>
      </c>
    </row>
    <row r="12" spans="1:85" x14ac:dyDescent="0.25">
      <c r="A12" t="s">
        <v>0</v>
      </c>
      <c r="B12" t="e">
        <f>-C11/(2*B11)</f>
        <v>#VALUE!</v>
      </c>
      <c r="E12" t="s">
        <v>0</v>
      </c>
      <c r="F12" t="e">
        <f>-G11/(2*F11)</f>
        <v>#VALUE!</v>
      </c>
      <c r="I12" t="s">
        <v>1</v>
      </c>
      <c r="J12" t="e">
        <f>-K11/(2*J11)</f>
        <v>#VALUE!</v>
      </c>
      <c r="M12" t="s">
        <v>1</v>
      </c>
      <c r="N12" t="e">
        <f>-O11/(2*N11)</f>
        <v>#VALUE!</v>
      </c>
      <c r="R12" t="e">
        <f>N12</f>
        <v>#VALUE!</v>
      </c>
      <c r="S12">
        <v>-18</v>
      </c>
    </row>
    <row r="13" spans="1:85" x14ac:dyDescent="0.25">
      <c r="R13" t="e">
        <f>N25</f>
        <v>#VALUE!</v>
      </c>
      <c r="S13">
        <v>-9</v>
      </c>
    </row>
    <row r="14" spans="1:85" x14ac:dyDescent="0.25">
      <c r="R14" t="e">
        <f>N38</f>
        <v>#VALUE!</v>
      </c>
      <c r="S14">
        <v>0</v>
      </c>
    </row>
    <row r="17" spans="1:23" x14ac:dyDescent="0.25">
      <c r="R17" t="s">
        <v>4</v>
      </c>
      <c r="S17" t="e">
        <f>SLOPE(R3:R14,S3:S14)</f>
        <v>#VALUE!</v>
      </c>
      <c r="U17" t="s">
        <v>15</v>
      </c>
      <c r="V17" t="e">
        <f>(180*ATAN(S17)/PI())</f>
        <v>#VALUE!</v>
      </c>
      <c r="W17" t="s">
        <v>6</v>
      </c>
    </row>
    <row r="18" spans="1:23" x14ac:dyDescent="0.25">
      <c r="R18" t="s">
        <v>5</v>
      </c>
      <c r="S18" t="e">
        <f>INTERCEPT(R3:R14,S3:S14)</f>
        <v>#VALUE!</v>
      </c>
    </row>
    <row r="24" spans="1:23" x14ac:dyDescent="0.25">
      <c r="B24" t="e">
        <f>INDEX(LINEST([0]!y_s2_c11,[0]!x_s2_c11^{1,2}),1)</f>
        <v>#VALUE!</v>
      </c>
      <c r="C24" t="e">
        <f>INDEX(LINEST([0]!y_s2_c11,[0]!x_s2_c11^{1,2}),1,2)</f>
        <v>#VALUE!</v>
      </c>
      <c r="F24" t="e">
        <f>INDEX(LINEST([0]!y_s2_c8,[0]!x_s2_c8^{1,2}),1)</f>
        <v>#VALUE!</v>
      </c>
      <c r="G24" t="e">
        <f>INDEX(LINEST([0]!y_s2_c8,[0]!x_s2_c8^{1,2}),1,2)</f>
        <v>#VALUE!</v>
      </c>
      <c r="J24" t="e">
        <f>INDEX(LINEST([0]!y_s2_c5,[0]!x_s2_c5^{1,2}),1)</f>
        <v>#VALUE!</v>
      </c>
      <c r="K24" t="e">
        <f>INDEX(LINEST([0]!y_s2_c5,[0]!x_s2_c5^{1,2}),1,2)</f>
        <v>#VALUE!</v>
      </c>
      <c r="N24" t="e">
        <f>INDEX(LINEST([0]!y_s2_c2,[0]!x_s2_c2^{1,2}),1)</f>
        <v>#VALUE!</v>
      </c>
      <c r="O24" t="e">
        <f>INDEX(LINEST([0]!y_s2_c2,[0]!x_s2_c2^{1,2}),1,2)</f>
        <v>#VALUE!</v>
      </c>
    </row>
    <row r="25" spans="1:23" x14ac:dyDescent="0.25">
      <c r="A25" t="s">
        <v>0</v>
      </c>
      <c r="B25" t="e">
        <f>-C24/(2*B24)</f>
        <v>#VALUE!</v>
      </c>
      <c r="E25" t="s">
        <v>0</v>
      </c>
      <c r="F25" t="e">
        <f>-G24/(2*F24)</f>
        <v>#VALUE!</v>
      </c>
      <c r="I25" t="s">
        <v>0</v>
      </c>
      <c r="J25" t="e">
        <f>-K24/(2*J24)</f>
        <v>#VALUE!</v>
      </c>
      <c r="M25" t="s">
        <v>0</v>
      </c>
      <c r="N25" t="e">
        <f>-O24/(2*N24)</f>
        <v>#VALUE!</v>
      </c>
    </row>
    <row r="37" spans="1:15" x14ac:dyDescent="0.25">
      <c r="B37" t="e">
        <f>INDEX(LINEST([0]!y_s2_c10,[0]!x_s2_c10^{1,2}),1)</f>
        <v>#VALUE!</v>
      </c>
      <c r="C37" t="e">
        <f>INDEX(LINEST([0]!y_s2_c10,[0]!x_s2_c10^{1,2}),1,2)</f>
        <v>#VALUE!</v>
      </c>
      <c r="F37" t="e">
        <f>INDEX(LINEST([0]!y_s2_c7,[0]!x_s2_c7^{1,2}),1)</f>
        <v>#VALUE!</v>
      </c>
      <c r="G37" t="e">
        <f>INDEX(LINEST([0]!y_s2_c7,[0]!x_s2_c7^{1,2}),1,2)</f>
        <v>#VALUE!</v>
      </c>
      <c r="J37" t="e">
        <f>INDEX(LINEST([0]!y_s2_c4,[0]!x_s2_c4^{1,2}),1)</f>
        <v>#VALUE!</v>
      </c>
      <c r="K37" t="e">
        <f>INDEX(LINEST([0]!y_s2_c4,[0]!x_s2_c4^{1,2}),1,2)</f>
        <v>#VALUE!</v>
      </c>
      <c r="N37" t="e">
        <f>INDEX(LINEST([0]!y_s2_c1,[0]!x_s2_c1^{1,2}),1)</f>
        <v>#VALUE!</v>
      </c>
      <c r="O37" t="e">
        <f>INDEX(LINEST([0]!y_s2_c1,[0]!x_s2_c1^{1,2}),1,2)</f>
        <v>#VALUE!</v>
      </c>
    </row>
    <row r="38" spans="1:15" x14ac:dyDescent="0.25">
      <c r="A38" t="s">
        <v>1</v>
      </c>
      <c r="B38" t="e">
        <f>-C37/(2*B37)</f>
        <v>#VALUE!</v>
      </c>
      <c r="E38" t="s">
        <v>1</v>
      </c>
      <c r="F38" t="e">
        <f>-G37/(2*F37)</f>
        <v>#VALUE!</v>
      </c>
      <c r="I38" t="s">
        <v>0</v>
      </c>
      <c r="J38" t="e">
        <f>-K37/(2*J37)</f>
        <v>#VALUE!</v>
      </c>
      <c r="M38" t="s">
        <v>0</v>
      </c>
      <c r="N38" t="e">
        <f>-O37/(2*N37)</f>
        <v>#VALUE!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topLeftCell="M1" workbookViewId="0">
      <selection activeCell="AA5" sqref="AA5:BU38"/>
    </sheetView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2</v>
      </c>
      <c r="AC2">
        <v>11</v>
      </c>
      <c r="AE2" t="s">
        <v>12</v>
      </c>
      <c r="AF2">
        <v>2</v>
      </c>
      <c r="AG2">
        <v>10</v>
      </c>
      <c r="AI2" t="s">
        <v>12</v>
      </c>
      <c r="AJ2">
        <v>2</v>
      </c>
      <c r="AK2">
        <v>9</v>
      </c>
      <c r="AM2" t="s">
        <v>12</v>
      </c>
      <c r="AN2">
        <v>2</v>
      </c>
      <c r="AO2">
        <v>8</v>
      </c>
      <c r="AQ2" t="s">
        <v>12</v>
      </c>
      <c r="AR2">
        <v>2</v>
      </c>
      <c r="AS2">
        <v>7</v>
      </c>
      <c r="AU2" t="s">
        <v>12</v>
      </c>
      <c r="AV2">
        <v>2</v>
      </c>
      <c r="AW2">
        <v>6</v>
      </c>
      <c r="AY2" t="s">
        <v>12</v>
      </c>
      <c r="AZ2">
        <v>2</v>
      </c>
      <c r="BA2">
        <v>5</v>
      </c>
      <c r="BC2" t="s">
        <v>12</v>
      </c>
      <c r="BD2">
        <v>2</v>
      </c>
      <c r="BE2">
        <v>4</v>
      </c>
      <c r="BG2" t="s">
        <v>12</v>
      </c>
      <c r="BH2">
        <v>2</v>
      </c>
      <c r="BI2">
        <v>3</v>
      </c>
      <c r="BK2" t="s">
        <v>12</v>
      </c>
      <c r="BL2">
        <v>2</v>
      </c>
      <c r="BM2">
        <v>2</v>
      </c>
      <c r="BO2" t="s">
        <v>12</v>
      </c>
      <c r="BP2">
        <v>2</v>
      </c>
      <c r="BQ2">
        <v>1</v>
      </c>
      <c r="BS2" t="s">
        <v>12</v>
      </c>
      <c r="BT2">
        <v>2</v>
      </c>
      <c r="BU2">
        <v>0</v>
      </c>
    </row>
    <row r="3" spans="1:73" x14ac:dyDescent="0.25">
      <c r="R3" t="e">
        <f>B12</f>
        <v>#VALUE!</v>
      </c>
      <c r="S3">
        <v>-99</v>
      </c>
    </row>
    <row r="4" spans="1:73" x14ac:dyDescent="0.25">
      <c r="R4" t="e">
        <f>B25</f>
        <v>#VALUE!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 t="e">
        <f>B38</f>
        <v>#VALUE!</v>
      </c>
      <c r="S5">
        <v>-81</v>
      </c>
    </row>
    <row r="6" spans="1:73" x14ac:dyDescent="0.25">
      <c r="R6" t="e">
        <f>F12</f>
        <v>#VALUE!</v>
      </c>
      <c r="S6">
        <v>-72</v>
      </c>
    </row>
    <row r="7" spans="1:73" x14ac:dyDescent="0.25">
      <c r="R7" t="e">
        <f>F25</f>
        <v>#VALUE!</v>
      </c>
      <c r="S7">
        <v>-63</v>
      </c>
    </row>
    <row r="8" spans="1:73" x14ac:dyDescent="0.25">
      <c r="R8" t="e">
        <f>F38</f>
        <v>#VALUE!</v>
      </c>
      <c r="S8">
        <v>-54</v>
      </c>
    </row>
    <row r="9" spans="1:73" x14ac:dyDescent="0.25">
      <c r="R9" t="e">
        <f>J12</f>
        <v>#VALUE!</v>
      </c>
      <c r="S9">
        <v>-45</v>
      </c>
    </row>
    <row r="10" spans="1:73" x14ac:dyDescent="0.25">
      <c r="R10" t="e">
        <f>J25</f>
        <v>#VALUE!</v>
      </c>
      <c r="S10">
        <v>-36</v>
      </c>
    </row>
    <row r="11" spans="1:73" x14ac:dyDescent="0.25">
      <c r="B11" t="e">
        <f>INDEX(LINEST([0]!y_s3_c12,[0]!x_s3_c12^{1,2}),1)</f>
        <v>#VALUE!</v>
      </c>
      <c r="C11" t="e">
        <f>INDEX(LINEST([0]!y_s3_c12,[0]!x_s3_c12^{1,2}),1,2)</f>
        <v>#VALUE!</v>
      </c>
      <c r="F11" t="e">
        <f>INDEX(LINEST([0]!y_s3_c9,[0]!x_s3_c9^{1,2}),1)</f>
        <v>#VALUE!</v>
      </c>
      <c r="G11" t="e">
        <f>INDEX(LINEST([0]!y_s3_c9,[0]!x_s3_c9^{1,2}),1,2)</f>
        <v>#VALUE!</v>
      </c>
      <c r="J11" t="e">
        <f>INDEX(LINEST([0]!y_s3_c6,[0]!x_s3_c6^{1,2}),1)</f>
        <v>#VALUE!</v>
      </c>
      <c r="K11" t="e">
        <f>INDEX(LINEST([0]!y_s3_c6,[0]!x_s3_c6^{1,2}),1,2)</f>
        <v>#VALUE!</v>
      </c>
      <c r="N11" t="e">
        <f>INDEX(LINEST([0]!y_s3_c3,[0]!x_s3_c3^{1,2}),1)</f>
        <v>#VALUE!</v>
      </c>
      <c r="O11" t="e">
        <f>INDEX(LINEST([0]!y_s3_c3,[0]!x_s3_c3^{1,2}),1,2)</f>
        <v>#VALUE!</v>
      </c>
      <c r="R11" t="e">
        <f>J38</f>
        <v>#VALUE!</v>
      </c>
      <c r="S11">
        <v>-27</v>
      </c>
    </row>
    <row r="12" spans="1:73" x14ac:dyDescent="0.25">
      <c r="A12" t="s">
        <v>0</v>
      </c>
      <c r="B12" t="e">
        <f>-C11/(2*B11)</f>
        <v>#VALUE!</v>
      </c>
      <c r="E12" t="s">
        <v>0</v>
      </c>
      <c r="F12" t="e">
        <f>-G11/(2*F11)</f>
        <v>#VALUE!</v>
      </c>
      <c r="I12" t="s">
        <v>1</v>
      </c>
      <c r="J12" t="e">
        <f>-K11/(2*J11)</f>
        <v>#VALUE!</v>
      </c>
      <c r="M12" t="s">
        <v>1</v>
      </c>
      <c r="N12" t="e">
        <f>-O11/(2*N11)</f>
        <v>#VALUE!</v>
      </c>
      <c r="R12" t="e">
        <f>N12</f>
        <v>#VALUE!</v>
      </c>
      <c r="S12">
        <v>-18</v>
      </c>
    </row>
    <row r="13" spans="1:73" x14ac:dyDescent="0.25">
      <c r="R13" t="e">
        <f>N25</f>
        <v>#VALUE!</v>
      </c>
      <c r="S13">
        <v>-9</v>
      </c>
    </row>
    <row r="14" spans="1:73" x14ac:dyDescent="0.25">
      <c r="R14" t="e">
        <f>N38</f>
        <v>#VALUE!</v>
      </c>
      <c r="S14">
        <v>0</v>
      </c>
    </row>
    <row r="17" spans="1:23" x14ac:dyDescent="0.25">
      <c r="R17" t="s">
        <v>4</v>
      </c>
      <c r="S17" t="e">
        <f>SLOPE(R3:R14,S3:S14)</f>
        <v>#VALUE!</v>
      </c>
      <c r="U17" t="s">
        <v>15</v>
      </c>
      <c r="V17" t="e">
        <f>(180 * ATAN(S17) / PI())</f>
        <v>#VALUE!</v>
      </c>
      <c r="W17" t="s">
        <v>6</v>
      </c>
    </row>
    <row r="18" spans="1:23" x14ac:dyDescent="0.25">
      <c r="R18" t="s">
        <v>5</v>
      </c>
      <c r="S18" t="e">
        <f>INTERCEPT(R3:R14,S3:S14)</f>
        <v>#VALUE!</v>
      </c>
    </row>
    <row r="24" spans="1:23" x14ac:dyDescent="0.25">
      <c r="B24" t="e">
        <f>INDEX(LINEST([0]!y_s3_c11,[0]!x_s3_c11^{1,2}),1)</f>
        <v>#VALUE!</v>
      </c>
      <c r="C24" t="e">
        <f>INDEX(LINEST([0]!y_s3_c11,[0]!x_s3_c11^{1,2}),1,2)</f>
        <v>#VALUE!</v>
      </c>
      <c r="F24" t="e">
        <f>INDEX(LINEST([0]!y_s3_c8,[0]!x_s3_c8^{1,2}),1)</f>
        <v>#VALUE!</v>
      </c>
      <c r="G24" t="e">
        <f>INDEX(LINEST([0]!y_s3_c8,[0]!x_s3_c8^{1,2}),1,2)</f>
        <v>#VALUE!</v>
      </c>
      <c r="J24" t="e">
        <f>INDEX(LINEST([0]!y_s3_c5,[0]!x_s3_c5^{1,2}),1)</f>
        <v>#VALUE!</v>
      </c>
      <c r="K24" t="e">
        <f>INDEX(LINEST([0]!y_s3_c5,[0]!x_s3_c5^{1,2}),1,2)</f>
        <v>#VALUE!</v>
      </c>
      <c r="N24" t="e">
        <f>INDEX(LINEST([0]!y_s3_c2,[0]!x_s3_c2^{1,2}),1)</f>
        <v>#VALUE!</v>
      </c>
      <c r="O24" t="e">
        <f>INDEX(LINEST([0]!y_s3_c2,[0]!x_s3_c2^{1,2}),1,2)</f>
        <v>#VALUE!</v>
      </c>
    </row>
    <row r="25" spans="1:23" x14ac:dyDescent="0.25">
      <c r="A25" t="s">
        <v>0</v>
      </c>
      <c r="B25" t="e">
        <f>-C24/(2*B24)</f>
        <v>#VALUE!</v>
      </c>
      <c r="E25" t="s">
        <v>0</v>
      </c>
      <c r="F25" t="e">
        <f>-G24/(2*F24)</f>
        <v>#VALUE!</v>
      </c>
      <c r="I25" t="s">
        <v>0</v>
      </c>
      <c r="J25" t="e">
        <f>-K24/(2*J24)</f>
        <v>#VALUE!</v>
      </c>
      <c r="M25" t="s">
        <v>0</v>
      </c>
      <c r="N25" t="e">
        <f>-O24/(2*N24)</f>
        <v>#VALUE!</v>
      </c>
    </row>
    <row r="37" spans="1:15" x14ac:dyDescent="0.25">
      <c r="B37" t="e">
        <f>INDEX(LINEST([0]!y_s3_c10,[0]!x_s3_c10^{1,2}),1)</f>
        <v>#VALUE!</v>
      </c>
      <c r="C37" t="e">
        <f>INDEX(LINEST([0]!y_s3_c10,[0]!x_s3_c10^{1,2}),1,2)</f>
        <v>#VALUE!</v>
      </c>
      <c r="F37" t="e">
        <f>INDEX(LINEST([0]!y_s3_c7,[0]!x_s3_c7^{1,2}),1)</f>
        <v>#VALUE!</v>
      </c>
      <c r="G37" t="e">
        <f>INDEX(LINEST([0]!y_s3_c7,[0]!x_s3_c7^{1,2}),1,2)</f>
        <v>#VALUE!</v>
      </c>
      <c r="J37" t="e">
        <f>INDEX(LINEST([0]!y_s3_c4,[0]!x_s3_c4^{1,2}),1)</f>
        <v>#VALUE!</v>
      </c>
      <c r="K37" t="e">
        <f>INDEX(LINEST([0]!y_s3_c4,[0]!x_s3_c4^{1,2}),1,2)</f>
        <v>#VALUE!</v>
      </c>
      <c r="N37" t="e">
        <f>INDEX(LINEST([0]!y_s3_c1,[0]!x_s3_c1^{1,2}),1)</f>
        <v>#VALUE!</v>
      </c>
      <c r="O37" t="e">
        <f>INDEX(LINEST([0]!y_s3_c1,[0]!x_s3_c1^{1,2}),1,2)</f>
        <v>#VALUE!</v>
      </c>
    </row>
    <row r="38" spans="1:15" x14ac:dyDescent="0.25">
      <c r="A38" t="s">
        <v>1</v>
      </c>
      <c r="B38" t="e">
        <f>-C37/(2*B37)</f>
        <v>#VALUE!</v>
      </c>
      <c r="E38" t="s">
        <v>1</v>
      </c>
      <c r="F38" t="e">
        <f>-G37/(2*F37)</f>
        <v>#VALUE!</v>
      </c>
      <c r="I38" t="s">
        <v>0</v>
      </c>
      <c r="J38" t="e">
        <f>-K37/(2*J37)</f>
        <v>#VALUE!</v>
      </c>
      <c r="M38" t="s">
        <v>0</v>
      </c>
      <c r="N38" t="e">
        <f>-O37/(2*N37)</f>
        <v>#VALUE!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topLeftCell="M1" workbookViewId="0">
      <selection activeCell="AA5" sqref="AA5:BU38"/>
    </sheetView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3</v>
      </c>
      <c r="AC2">
        <v>11</v>
      </c>
      <c r="AE2" t="s">
        <v>12</v>
      </c>
      <c r="AF2">
        <v>3</v>
      </c>
      <c r="AG2">
        <v>10</v>
      </c>
      <c r="AI2" t="s">
        <v>12</v>
      </c>
      <c r="AJ2">
        <v>3</v>
      </c>
      <c r="AK2">
        <v>9</v>
      </c>
      <c r="AM2" t="s">
        <v>12</v>
      </c>
      <c r="AN2">
        <v>3</v>
      </c>
      <c r="AO2">
        <v>8</v>
      </c>
      <c r="AQ2" t="s">
        <v>12</v>
      </c>
      <c r="AR2">
        <v>3</v>
      </c>
      <c r="AS2">
        <v>7</v>
      </c>
      <c r="AU2" t="s">
        <v>12</v>
      </c>
      <c r="AV2">
        <v>3</v>
      </c>
      <c r="AW2">
        <v>6</v>
      </c>
      <c r="AY2" t="s">
        <v>12</v>
      </c>
      <c r="AZ2">
        <v>3</v>
      </c>
      <c r="BA2">
        <v>5</v>
      </c>
      <c r="BC2" t="s">
        <v>12</v>
      </c>
      <c r="BD2">
        <v>3</v>
      </c>
      <c r="BE2">
        <v>4</v>
      </c>
      <c r="BG2" t="s">
        <v>12</v>
      </c>
      <c r="BH2">
        <v>3</v>
      </c>
      <c r="BI2">
        <v>3</v>
      </c>
      <c r="BK2" t="s">
        <v>12</v>
      </c>
      <c r="BL2">
        <v>3</v>
      </c>
      <c r="BM2">
        <v>2</v>
      </c>
      <c r="BO2" t="s">
        <v>12</v>
      </c>
      <c r="BP2">
        <v>3</v>
      </c>
      <c r="BQ2">
        <v>1</v>
      </c>
      <c r="BS2" t="s">
        <v>12</v>
      </c>
      <c r="BT2">
        <v>3</v>
      </c>
      <c r="BU2">
        <v>0</v>
      </c>
    </row>
    <row r="3" spans="1:73" x14ac:dyDescent="0.25">
      <c r="R3" t="e">
        <f>B12</f>
        <v>#VALUE!</v>
      </c>
      <c r="S3">
        <v>-99</v>
      </c>
    </row>
    <row r="4" spans="1:73" x14ac:dyDescent="0.25">
      <c r="R4" t="e">
        <f>B25</f>
        <v>#VALUE!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 t="e">
        <f>B38</f>
        <v>#VALUE!</v>
      </c>
      <c r="S5">
        <v>-81</v>
      </c>
    </row>
    <row r="6" spans="1:73" x14ac:dyDescent="0.25">
      <c r="R6" t="e">
        <f>F12</f>
        <v>#VALUE!</v>
      </c>
      <c r="S6">
        <v>-72</v>
      </c>
    </row>
    <row r="7" spans="1:73" x14ac:dyDescent="0.25">
      <c r="R7" t="e">
        <f>F25</f>
        <v>#VALUE!</v>
      </c>
      <c r="S7">
        <v>-63</v>
      </c>
    </row>
    <row r="8" spans="1:73" x14ac:dyDescent="0.25">
      <c r="R8" t="e">
        <f>F38</f>
        <v>#VALUE!</v>
      </c>
      <c r="S8">
        <v>-54</v>
      </c>
    </row>
    <row r="9" spans="1:73" x14ac:dyDescent="0.25">
      <c r="R9" t="e">
        <f>J12</f>
        <v>#VALUE!</v>
      </c>
      <c r="S9">
        <v>-45</v>
      </c>
    </row>
    <row r="10" spans="1:73" x14ac:dyDescent="0.25">
      <c r="R10" t="e">
        <f>J25</f>
        <v>#VALUE!</v>
      </c>
      <c r="S10">
        <v>-36</v>
      </c>
    </row>
    <row r="11" spans="1:73" x14ac:dyDescent="0.25">
      <c r="B11" t="e">
        <f>INDEX(LINEST([0]!y_s4_c12,[0]!x_s4_c12^{1,2}),1)</f>
        <v>#VALUE!</v>
      </c>
      <c r="C11" t="e">
        <f>INDEX(LINEST([0]!y_s4_c12,[0]!x_s4_c12^{1,2}),1,2)</f>
        <v>#VALUE!</v>
      </c>
      <c r="F11" t="e">
        <f>INDEX(LINEST([0]!y_s4_c9,[0]!x_s4_c9^{1,2}),1)</f>
        <v>#VALUE!</v>
      </c>
      <c r="G11" t="e">
        <f>INDEX(LINEST([0]!y_s4_c9,[0]!x_s4_c9^{1,2}),1,2)</f>
        <v>#VALUE!</v>
      </c>
      <c r="J11" t="e">
        <f>INDEX(LINEST([0]!y_s4_c6,[0]!x_s4_c6^{1,2}),1)</f>
        <v>#VALUE!</v>
      </c>
      <c r="K11" t="e">
        <f>INDEX(LINEST([0]!y_s4_c6,[0]!x_s4_c6^{1,2}),1,2)</f>
        <v>#VALUE!</v>
      </c>
      <c r="N11" t="e">
        <f>INDEX(LINEST([0]!y_s4_c3,[0]!x_s4_c3^{1,2}),1)</f>
        <v>#VALUE!</v>
      </c>
      <c r="O11" t="e">
        <f>INDEX(LINEST([0]!y_s4_c3,[0]!x_s4_c3^{1,2}),1,2)</f>
        <v>#VALUE!</v>
      </c>
      <c r="R11" t="e">
        <f>J38</f>
        <v>#VALUE!</v>
      </c>
      <c r="S11">
        <v>-27</v>
      </c>
    </row>
    <row r="12" spans="1:73" x14ac:dyDescent="0.25">
      <c r="A12" t="s">
        <v>0</v>
      </c>
      <c r="B12" t="e">
        <f>-C11/(2*B11)</f>
        <v>#VALUE!</v>
      </c>
      <c r="E12" t="s">
        <v>0</v>
      </c>
      <c r="F12" t="e">
        <f>-G11/(2*F11)</f>
        <v>#VALUE!</v>
      </c>
      <c r="I12" t="s">
        <v>1</v>
      </c>
      <c r="J12" t="e">
        <f>-K11/(2*J11)</f>
        <v>#VALUE!</v>
      </c>
      <c r="M12" t="s">
        <v>1</v>
      </c>
      <c r="N12" t="e">
        <f>-O11/(2*N11)</f>
        <v>#VALUE!</v>
      </c>
      <c r="R12" t="e">
        <f>N12</f>
        <v>#VALUE!</v>
      </c>
      <c r="S12">
        <v>-18</v>
      </c>
    </row>
    <row r="13" spans="1:73" x14ac:dyDescent="0.25">
      <c r="R13" t="e">
        <f>N25</f>
        <v>#VALUE!</v>
      </c>
      <c r="S13">
        <v>-9</v>
      </c>
    </row>
    <row r="14" spans="1:73" x14ac:dyDescent="0.25">
      <c r="R14" t="e">
        <f>N38</f>
        <v>#VALUE!</v>
      </c>
      <c r="S14">
        <v>0</v>
      </c>
    </row>
    <row r="17" spans="1:23" x14ac:dyDescent="0.25">
      <c r="R17" t="s">
        <v>4</v>
      </c>
      <c r="S17" t="e">
        <f>SLOPE(R3:R14,S3:S14)</f>
        <v>#VALUE!</v>
      </c>
      <c r="U17" t="s">
        <v>15</v>
      </c>
      <c r="V17" t="e">
        <f>(180 * ATAN(S17) / PI())</f>
        <v>#VALUE!</v>
      </c>
      <c r="W17" t="s">
        <v>6</v>
      </c>
    </row>
    <row r="18" spans="1:23" x14ac:dyDescent="0.25">
      <c r="R18" t="s">
        <v>5</v>
      </c>
      <c r="S18" t="e">
        <f>INTERCEPT(R3:R14,S3:S14)</f>
        <v>#VALUE!</v>
      </c>
    </row>
    <row r="24" spans="1:23" x14ac:dyDescent="0.25">
      <c r="B24" t="e">
        <f>INDEX(LINEST([0]!y_s4_c11,[0]!x_s4_c11^{1,2}),1)</f>
        <v>#VALUE!</v>
      </c>
      <c r="C24" t="e">
        <f>INDEX(LINEST([0]!y_s4_c11,[0]!x_s4_c11^{1,2}),1,2)</f>
        <v>#VALUE!</v>
      </c>
      <c r="F24" t="e">
        <f>INDEX(LINEST([0]!y_s4_c8,[0]!x_s4_c8^{1,2}),1)</f>
        <v>#VALUE!</v>
      </c>
      <c r="G24" t="e">
        <f>INDEX(LINEST([0]!y_s4_c8,[0]!x_s4_c8^{1,2}),1,2)</f>
        <v>#VALUE!</v>
      </c>
      <c r="J24" t="e">
        <f>INDEX(LINEST([0]!y_s4_c5,[0]!x_s4_c5^{1,2}),1)</f>
        <v>#VALUE!</v>
      </c>
      <c r="K24" t="e">
        <f>INDEX(LINEST([0]!y_s4_c5,[0]!x_s4_c5^{1,2}),1,2)</f>
        <v>#VALUE!</v>
      </c>
      <c r="N24" t="e">
        <f>INDEX(LINEST([0]!y_s4_c2,[0]!x_s4_c2^{1,2}),1)</f>
        <v>#VALUE!</v>
      </c>
      <c r="O24" t="e">
        <f>INDEX(LINEST([0]!y_s4_c2,[0]!x_s4_c2^{1,2}),1,2)</f>
        <v>#VALUE!</v>
      </c>
    </row>
    <row r="25" spans="1:23" x14ac:dyDescent="0.25">
      <c r="A25" t="s">
        <v>0</v>
      </c>
      <c r="B25" t="e">
        <f>-C24/(2*B24)</f>
        <v>#VALUE!</v>
      </c>
      <c r="E25" t="s">
        <v>0</v>
      </c>
      <c r="F25" t="e">
        <f>-G24/(2*F24)</f>
        <v>#VALUE!</v>
      </c>
      <c r="I25" t="s">
        <v>0</v>
      </c>
      <c r="J25" t="e">
        <f>-K24/(2*J24)</f>
        <v>#VALUE!</v>
      </c>
      <c r="M25" t="s">
        <v>0</v>
      </c>
      <c r="N25" t="e">
        <f>-O24/(2*N24)</f>
        <v>#VALUE!</v>
      </c>
    </row>
    <row r="37" spans="1:15" x14ac:dyDescent="0.25">
      <c r="B37" t="e">
        <f>INDEX(LINEST([0]!y_s4_c10,[0]!x_s4_c10^{1,2}),1)</f>
        <v>#VALUE!</v>
      </c>
      <c r="C37" t="e">
        <f>INDEX(LINEST([0]!y_s4_c10,[0]!x_s4_c10^{1,2}),1,2)</f>
        <v>#VALUE!</v>
      </c>
      <c r="F37" t="e">
        <f>INDEX(LINEST([0]!y_s4_c7,[0]!x_s4_c7^{1,2}),1)</f>
        <v>#VALUE!</v>
      </c>
      <c r="G37" t="e">
        <f>INDEX(LINEST([0]!y_s4_c7,[0]!x_s4_c7^{1,2}),1,2)</f>
        <v>#VALUE!</v>
      </c>
      <c r="J37" t="e">
        <f>INDEX(LINEST([0]!y_s4_c4,[0]!x_s4_c4^{1,2}),1)</f>
        <v>#VALUE!</v>
      </c>
      <c r="K37" t="e">
        <f>INDEX(LINEST([0]!y_s4_c4,[0]!x_s4_c4^{1,2}),1,2)</f>
        <v>#VALUE!</v>
      </c>
      <c r="N37" t="e">
        <f>INDEX(LINEST([0]!y_s4_c1,[0]!x_s4_c1^{1,2}),1)</f>
        <v>#VALUE!</v>
      </c>
      <c r="O37" t="e">
        <f>INDEX(LINEST([0]!y_s4_c1,[0]!x_s4_c1^{1,2}),1,2)</f>
        <v>#VALUE!</v>
      </c>
    </row>
    <row r="38" spans="1:15" x14ac:dyDescent="0.25">
      <c r="A38" t="s">
        <v>1</v>
      </c>
      <c r="B38" t="e">
        <f>-C37/(2*B37)</f>
        <v>#VALUE!</v>
      </c>
      <c r="E38" t="s">
        <v>1</v>
      </c>
      <c r="F38" t="e">
        <f>-G37/(2*F37)</f>
        <v>#VALUE!</v>
      </c>
      <c r="I38" t="s">
        <v>0</v>
      </c>
      <c r="J38" t="e">
        <f>-K37/(2*J37)</f>
        <v>#VALUE!</v>
      </c>
      <c r="M38" t="s">
        <v>0</v>
      </c>
      <c r="N38" t="e">
        <f>-O37/(2*N37)</f>
        <v>#VALUE!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topLeftCell="M1" workbookViewId="0">
      <selection activeCell="AA5" sqref="AA5:BU38"/>
    </sheetView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4</v>
      </c>
      <c r="AC2">
        <v>11</v>
      </c>
      <c r="AE2" t="s">
        <v>12</v>
      </c>
      <c r="AF2">
        <v>4</v>
      </c>
      <c r="AG2">
        <v>10</v>
      </c>
      <c r="AI2" t="s">
        <v>12</v>
      </c>
      <c r="AJ2">
        <v>4</v>
      </c>
      <c r="AK2">
        <v>9</v>
      </c>
      <c r="AM2" t="s">
        <v>12</v>
      </c>
      <c r="AN2">
        <v>4</v>
      </c>
      <c r="AO2">
        <v>8</v>
      </c>
      <c r="AQ2" t="s">
        <v>12</v>
      </c>
      <c r="AR2">
        <v>4</v>
      </c>
      <c r="AS2">
        <v>7</v>
      </c>
      <c r="AU2" t="s">
        <v>12</v>
      </c>
      <c r="AV2">
        <v>4</v>
      </c>
      <c r="AW2">
        <v>6</v>
      </c>
      <c r="AY2" t="s">
        <v>12</v>
      </c>
      <c r="AZ2">
        <v>4</v>
      </c>
      <c r="BA2">
        <v>5</v>
      </c>
      <c r="BC2" t="s">
        <v>12</v>
      </c>
      <c r="BD2">
        <v>4</v>
      </c>
      <c r="BE2">
        <v>4</v>
      </c>
      <c r="BG2" t="s">
        <v>12</v>
      </c>
      <c r="BH2">
        <v>4</v>
      </c>
      <c r="BI2">
        <v>3</v>
      </c>
      <c r="BK2" t="s">
        <v>12</v>
      </c>
      <c r="BL2">
        <v>4</v>
      </c>
      <c r="BM2">
        <v>2</v>
      </c>
      <c r="BO2" t="s">
        <v>12</v>
      </c>
      <c r="BP2">
        <v>4</v>
      </c>
      <c r="BQ2">
        <v>1</v>
      </c>
      <c r="BS2" t="s">
        <v>12</v>
      </c>
      <c r="BT2">
        <v>4</v>
      </c>
      <c r="BU2">
        <v>0</v>
      </c>
    </row>
    <row r="3" spans="1:73" x14ac:dyDescent="0.25">
      <c r="R3" t="e">
        <f>B12</f>
        <v>#VALUE!</v>
      </c>
      <c r="S3">
        <v>-99</v>
      </c>
    </row>
    <row r="4" spans="1:73" x14ac:dyDescent="0.25">
      <c r="R4" t="e">
        <f>B25</f>
        <v>#VALUE!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 t="e">
        <f>B38</f>
        <v>#VALUE!</v>
      </c>
      <c r="S5">
        <v>-81</v>
      </c>
    </row>
    <row r="6" spans="1:73" x14ac:dyDescent="0.25">
      <c r="R6" t="e">
        <f>F12</f>
        <v>#VALUE!</v>
      </c>
      <c r="S6">
        <v>-72</v>
      </c>
    </row>
    <row r="7" spans="1:73" x14ac:dyDescent="0.25">
      <c r="R7" t="e">
        <f>F25</f>
        <v>#VALUE!</v>
      </c>
      <c r="S7">
        <v>-63</v>
      </c>
    </row>
    <row r="8" spans="1:73" x14ac:dyDescent="0.25">
      <c r="R8" t="e">
        <f>F38</f>
        <v>#VALUE!</v>
      </c>
      <c r="S8">
        <v>-54</v>
      </c>
    </row>
    <row r="9" spans="1:73" x14ac:dyDescent="0.25">
      <c r="R9" t="e">
        <f>J12</f>
        <v>#VALUE!</v>
      </c>
      <c r="S9">
        <v>-45</v>
      </c>
    </row>
    <row r="10" spans="1:73" x14ac:dyDescent="0.25">
      <c r="R10" t="e">
        <f>J25</f>
        <v>#VALUE!</v>
      </c>
      <c r="S10">
        <v>-36</v>
      </c>
    </row>
    <row r="11" spans="1:73" x14ac:dyDescent="0.25">
      <c r="B11" t="e">
        <f>INDEX(LINEST([0]!y_s5_c12,[0]!x_s5_c12^{1,2}),1)</f>
        <v>#VALUE!</v>
      </c>
      <c r="C11" t="e">
        <f>INDEX(LINEST([0]!y_s5_c12,[0]!x_s5_c12^{1,2}),1,2)</f>
        <v>#VALUE!</v>
      </c>
      <c r="F11" t="e">
        <f>INDEX(LINEST([0]!y_s5_c9,[0]!x_s5_c9^{1,2}),1)</f>
        <v>#VALUE!</v>
      </c>
      <c r="G11" t="e">
        <f>INDEX(LINEST([0]!y_s5_c9,[0]!x_s5_c9^{1,2}),1,2)</f>
        <v>#VALUE!</v>
      </c>
      <c r="J11" t="e">
        <f>INDEX(LINEST([0]!y_s5_c6,[0]!x_s5_c6^{1,2}),1)</f>
        <v>#VALUE!</v>
      </c>
      <c r="K11" t="e">
        <f>INDEX(LINEST([0]!y_s5_c6,[0]!x_s5_c6^{1,2}),1,2)</f>
        <v>#VALUE!</v>
      </c>
      <c r="N11" t="e">
        <f>INDEX(LINEST([0]!y_s5_c3,[0]!x_s5_c3^{1,2}),1)</f>
        <v>#VALUE!</v>
      </c>
      <c r="O11" t="e">
        <f>INDEX(LINEST([0]!y_s5_c3,[0]!x_s5_c3^{1,2}),1,2)</f>
        <v>#VALUE!</v>
      </c>
      <c r="R11" t="e">
        <f>J38</f>
        <v>#VALUE!</v>
      </c>
      <c r="S11">
        <v>-27</v>
      </c>
    </row>
    <row r="12" spans="1:73" x14ac:dyDescent="0.25">
      <c r="A12" t="s">
        <v>0</v>
      </c>
      <c r="B12" t="e">
        <f>-C11/(2*B11)</f>
        <v>#VALUE!</v>
      </c>
      <c r="E12" t="s">
        <v>0</v>
      </c>
      <c r="F12" t="e">
        <f>-G11/(2*F11)</f>
        <v>#VALUE!</v>
      </c>
      <c r="I12" t="s">
        <v>1</v>
      </c>
      <c r="J12" t="e">
        <f>-K11/(2*J11)</f>
        <v>#VALUE!</v>
      </c>
      <c r="M12" t="s">
        <v>1</v>
      </c>
      <c r="N12" t="e">
        <f>-O11/(2*N11)</f>
        <v>#VALUE!</v>
      </c>
      <c r="R12" t="e">
        <f>N12</f>
        <v>#VALUE!</v>
      </c>
      <c r="S12">
        <v>-18</v>
      </c>
    </row>
    <row r="13" spans="1:73" x14ac:dyDescent="0.25">
      <c r="R13" t="e">
        <f>N25</f>
        <v>#VALUE!</v>
      </c>
      <c r="S13">
        <v>-9</v>
      </c>
    </row>
    <row r="14" spans="1:73" x14ac:dyDescent="0.25">
      <c r="R14" t="e">
        <f>N38</f>
        <v>#VALUE!</v>
      </c>
      <c r="S14">
        <v>0</v>
      </c>
    </row>
    <row r="17" spans="1:23" x14ac:dyDescent="0.25">
      <c r="R17" t="s">
        <v>4</v>
      </c>
      <c r="S17" t="e">
        <f>SLOPE(R3:R14,S3:S14)</f>
        <v>#VALUE!</v>
      </c>
      <c r="U17" t="s">
        <v>15</v>
      </c>
      <c r="V17" t="e">
        <f>(180 * ATAN(S17) / PI())</f>
        <v>#VALUE!</v>
      </c>
      <c r="W17" t="s">
        <v>6</v>
      </c>
    </row>
    <row r="18" spans="1:23" x14ac:dyDescent="0.25">
      <c r="R18" t="s">
        <v>5</v>
      </c>
      <c r="S18" t="e">
        <f>INTERCEPT(R3:R14,S3:S14)</f>
        <v>#VALUE!</v>
      </c>
    </row>
    <row r="24" spans="1:23" x14ac:dyDescent="0.25">
      <c r="B24" t="e">
        <f>INDEX(LINEST([0]!y_s5_c11,[0]!x_s5_c11^{1,2}),1)</f>
        <v>#VALUE!</v>
      </c>
      <c r="C24" t="e">
        <f>INDEX(LINEST([0]!y_s5_c11,[0]!x_s5_c11^{1,2}),1,2)</f>
        <v>#VALUE!</v>
      </c>
      <c r="F24" t="e">
        <f>INDEX(LINEST([0]!y_s5_c8,[0]!x_s5_c8^{1,2}),1)</f>
        <v>#VALUE!</v>
      </c>
      <c r="G24" t="e">
        <f>INDEX(LINEST([0]!y_s5_c8,[0]!x_s5_c8^{1,2}),1,2)</f>
        <v>#VALUE!</v>
      </c>
      <c r="J24" t="e">
        <f>INDEX(LINEST([0]!y_s5_c5,[0]!x_s5_c5^{1,2}),1)</f>
        <v>#VALUE!</v>
      </c>
      <c r="K24" t="e">
        <f>INDEX(LINEST([0]!y_s5_c5,[0]!x_s5_c5^{1,2}),1,2)</f>
        <v>#VALUE!</v>
      </c>
      <c r="N24" t="e">
        <f>INDEX(LINEST([0]!y_s5_c2,[0]!x_s5_c2^{1,2}),1)</f>
        <v>#VALUE!</v>
      </c>
      <c r="O24" t="e">
        <f>INDEX(LINEST([0]!y_s5_c2,[0]!x_s5_c2^{1,2}),1,2)</f>
        <v>#VALUE!</v>
      </c>
    </row>
    <row r="25" spans="1:23" x14ac:dyDescent="0.25">
      <c r="A25" t="s">
        <v>0</v>
      </c>
      <c r="B25" t="e">
        <f>-C24/(2*B24)</f>
        <v>#VALUE!</v>
      </c>
      <c r="E25" t="s">
        <v>0</v>
      </c>
      <c r="F25" t="e">
        <f>-G24/(2*F24)</f>
        <v>#VALUE!</v>
      </c>
      <c r="I25" t="s">
        <v>0</v>
      </c>
      <c r="J25" t="e">
        <f>-K24/(2*J24)</f>
        <v>#VALUE!</v>
      </c>
      <c r="M25" t="s">
        <v>0</v>
      </c>
      <c r="N25" t="e">
        <f>-O24/(2*N24)</f>
        <v>#VALUE!</v>
      </c>
    </row>
    <row r="37" spans="1:15" x14ac:dyDescent="0.25">
      <c r="B37" t="e">
        <f>INDEX(LINEST([0]!y_s5_c10,[0]!x_s5_c10^{1,2}),1)</f>
        <v>#VALUE!</v>
      </c>
      <c r="C37" t="e">
        <f>INDEX(LINEST([0]!y_s5_c10,[0]!x_s5_c10^{1,2}),1,2)</f>
        <v>#VALUE!</v>
      </c>
      <c r="F37" t="e">
        <f>INDEX(LINEST([0]!y_s5_c7,[0]!x_s5_c7^{1,2}),1)</f>
        <v>#VALUE!</v>
      </c>
      <c r="G37" t="e">
        <f>INDEX(LINEST([0]!y_s5_c7,[0]!x_s5_c7^{1,2}),1,2)</f>
        <v>#VALUE!</v>
      </c>
      <c r="J37" t="e">
        <f>INDEX(LINEST([0]!y_s5_c4,[0]!x_s5_c4^{1,2}),1)</f>
        <v>#VALUE!</v>
      </c>
      <c r="K37" t="e">
        <f>INDEX(LINEST([0]!y_s5_c4,[0]!x_s5_c4^{1,2}),1,2)</f>
        <v>#VALUE!</v>
      </c>
      <c r="N37" t="e">
        <f>INDEX(LINEST([0]!y_s5_c1,[0]!x_s5_c1^{1,2}),1)</f>
        <v>#VALUE!</v>
      </c>
      <c r="O37" t="e">
        <f>INDEX(LINEST([0]!y_s5_c1,[0]!x_s5_c1^{1,2}),1,2)</f>
        <v>#VALUE!</v>
      </c>
    </row>
    <row r="38" spans="1:15" x14ac:dyDescent="0.25">
      <c r="A38" t="s">
        <v>1</v>
      </c>
      <c r="B38" t="e">
        <f>-C37/(2*B37)</f>
        <v>#VALUE!</v>
      </c>
      <c r="E38" t="s">
        <v>1</v>
      </c>
      <c r="F38" t="e">
        <f>-G37/(2*F37)</f>
        <v>#VALUE!</v>
      </c>
      <c r="I38" t="s">
        <v>0</v>
      </c>
      <c r="J38" t="e">
        <f>-K37/(2*J37)</f>
        <v>#VALUE!</v>
      </c>
      <c r="M38" t="s">
        <v>0</v>
      </c>
      <c r="N38" t="e">
        <f>-O37/(2*N37)</f>
        <v>#VALUE!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topLeftCell="M1" workbookViewId="0">
      <selection activeCell="AA5" sqref="AA5:BU38"/>
    </sheetView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5</v>
      </c>
      <c r="AC2">
        <v>11</v>
      </c>
      <c r="AE2" t="s">
        <v>12</v>
      </c>
      <c r="AF2">
        <v>5</v>
      </c>
      <c r="AG2">
        <v>10</v>
      </c>
      <c r="AI2" t="s">
        <v>12</v>
      </c>
      <c r="AJ2">
        <v>5</v>
      </c>
      <c r="AK2">
        <v>9</v>
      </c>
      <c r="AM2" t="s">
        <v>12</v>
      </c>
      <c r="AN2">
        <v>5</v>
      </c>
      <c r="AO2">
        <v>8</v>
      </c>
      <c r="AQ2" t="s">
        <v>12</v>
      </c>
      <c r="AR2">
        <v>5</v>
      </c>
      <c r="AS2">
        <v>7</v>
      </c>
      <c r="AU2" t="s">
        <v>12</v>
      </c>
      <c r="AV2">
        <v>5</v>
      </c>
      <c r="AW2">
        <v>6</v>
      </c>
      <c r="AY2" t="s">
        <v>12</v>
      </c>
      <c r="AZ2">
        <v>5</v>
      </c>
      <c r="BA2">
        <v>5</v>
      </c>
      <c r="BC2" t="s">
        <v>12</v>
      </c>
      <c r="BD2">
        <v>5</v>
      </c>
      <c r="BE2">
        <v>4</v>
      </c>
      <c r="BG2" t="s">
        <v>12</v>
      </c>
      <c r="BH2">
        <v>5</v>
      </c>
      <c r="BI2">
        <v>3</v>
      </c>
      <c r="BK2" t="s">
        <v>12</v>
      </c>
      <c r="BL2">
        <v>5</v>
      </c>
      <c r="BM2">
        <v>2</v>
      </c>
      <c r="BO2" t="s">
        <v>12</v>
      </c>
      <c r="BP2">
        <v>5</v>
      </c>
      <c r="BQ2">
        <v>1</v>
      </c>
      <c r="BS2" t="s">
        <v>12</v>
      </c>
      <c r="BT2">
        <v>5</v>
      </c>
      <c r="BU2">
        <v>0</v>
      </c>
    </row>
    <row r="3" spans="1:73" x14ac:dyDescent="0.25">
      <c r="R3" t="e">
        <f>B12</f>
        <v>#VALUE!</v>
      </c>
      <c r="S3">
        <v>-99</v>
      </c>
    </row>
    <row r="4" spans="1:73" x14ac:dyDescent="0.25">
      <c r="R4" t="e">
        <f>B25</f>
        <v>#VALUE!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 t="e">
        <f>B38</f>
        <v>#VALUE!</v>
      </c>
      <c r="S5">
        <v>-81</v>
      </c>
    </row>
    <row r="6" spans="1:73" x14ac:dyDescent="0.25">
      <c r="R6" t="e">
        <f>F12</f>
        <v>#VALUE!</v>
      </c>
      <c r="S6">
        <v>-72</v>
      </c>
    </row>
    <row r="7" spans="1:73" x14ac:dyDescent="0.25">
      <c r="R7" t="e">
        <f>F25</f>
        <v>#VALUE!</v>
      </c>
      <c r="S7">
        <v>-63</v>
      </c>
    </row>
    <row r="8" spans="1:73" x14ac:dyDescent="0.25">
      <c r="R8" t="e">
        <f>F38</f>
        <v>#VALUE!</v>
      </c>
      <c r="S8">
        <v>-54</v>
      </c>
    </row>
    <row r="9" spans="1:73" x14ac:dyDescent="0.25">
      <c r="R9" t="e">
        <f>J12</f>
        <v>#VALUE!</v>
      </c>
      <c r="S9">
        <v>-45</v>
      </c>
    </row>
    <row r="10" spans="1:73" x14ac:dyDescent="0.25">
      <c r="R10" t="e">
        <f>J25</f>
        <v>#VALUE!</v>
      </c>
      <c r="S10">
        <v>-36</v>
      </c>
    </row>
    <row r="11" spans="1:73" x14ac:dyDescent="0.25">
      <c r="B11" t="e">
        <f>INDEX(LINEST([0]!y_s6_c12,[0]!x_s6_c12^{1,2}),1)</f>
        <v>#VALUE!</v>
      </c>
      <c r="C11" t="e">
        <f>INDEX(LINEST([0]!y_s6_c12,[0]!x_s6_c12^{1,2}),1,2)</f>
        <v>#VALUE!</v>
      </c>
      <c r="F11" t="e">
        <f>INDEX(LINEST([0]!y_s6_c9,[0]!x_s6_c9^{1,2}),1)</f>
        <v>#VALUE!</v>
      </c>
      <c r="G11" t="e">
        <f>INDEX(LINEST([0]!y_s6_c9,[0]!x_s6_c9^{1,2}),1,2)</f>
        <v>#VALUE!</v>
      </c>
      <c r="J11" t="e">
        <f>INDEX(LINEST([0]!y_s6_c6,[0]!x_s6_c6^{1,2}),1)</f>
        <v>#VALUE!</v>
      </c>
      <c r="K11" t="e">
        <f>INDEX(LINEST([0]!y_s6_c6,[0]!x_s6_c6^{1,2}),1,2)</f>
        <v>#VALUE!</v>
      </c>
      <c r="N11" t="e">
        <f>INDEX(LINEST([0]!y_s6_c3,[0]!x_s6_c3^{1,2}),1)</f>
        <v>#VALUE!</v>
      </c>
      <c r="O11" t="e">
        <f>INDEX(LINEST([0]!y_s6_c3,[0]!x_s6_c3^{1,2}),1,2)</f>
        <v>#VALUE!</v>
      </c>
      <c r="R11" t="e">
        <f>J38</f>
        <v>#VALUE!</v>
      </c>
      <c r="S11">
        <v>-27</v>
      </c>
    </row>
    <row r="12" spans="1:73" x14ac:dyDescent="0.25">
      <c r="A12" t="s">
        <v>0</v>
      </c>
      <c r="B12" t="e">
        <f>-C11/(2*B11)</f>
        <v>#VALUE!</v>
      </c>
      <c r="E12" t="s">
        <v>0</v>
      </c>
      <c r="F12" t="e">
        <f>-G11/(2*F11)</f>
        <v>#VALUE!</v>
      </c>
      <c r="I12" t="s">
        <v>1</v>
      </c>
      <c r="J12" t="e">
        <f>-K11/(2*J11)</f>
        <v>#VALUE!</v>
      </c>
      <c r="M12" t="s">
        <v>1</v>
      </c>
      <c r="N12" t="e">
        <f>-O11/(2*N11)</f>
        <v>#VALUE!</v>
      </c>
      <c r="R12" t="e">
        <f>N12</f>
        <v>#VALUE!</v>
      </c>
      <c r="S12">
        <v>-18</v>
      </c>
    </row>
    <row r="13" spans="1:73" x14ac:dyDescent="0.25">
      <c r="R13" t="e">
        <f>N25</f>
        <v>#VALUE!</v>
      </c>
      <c r="S13">
        <v>-9</v>
      </c>
    </row>
    <row r="14" spans="1:73" x14ac:dyDescent="0.25">
      <c r="R14" t="e">
        <f>N38</f>
        <v>#VALUE!</v>
      </c>
      <c r="S14">
        <v>0</v>
      </c>
    </row>
    <row r="17" spans="1:23" x14ac:dyDescent="0.25">
      <c r="R17" t="s">
        <v>4</v>
      </c>
      <c r="S17" t="e">
        <f>SLOPE(R3:R14,S3:S14)</f>
        <v>#VALUE!</v>
      </c>
      <c r="U17" t="s">
        <v>15</v>
      </c>
      <c r="V17" t="e">
        <f>(180 * ATAN(S17) / PI())</f>
        <v>#VALUE!</v>
      </c>
      <c r="W17" t="s">
        <v>6</v>
      </c>
    </row>
    <row r="18" spans="1:23" x14ac:dyDescent="0.25">
      <c r="R18" t="s">
        <v>5</v>
      </c>
      <c r="S18" t="e">
        <f>INTERCEPT(R3:R14,S3:S14)</f>
        <v>#VALUE!</v>
      </c>
    </row>
    <row r="24" spans="1:23" x14ac:dyDescent="0.25">
      <c r="B24" t="e">
        <f>INDEX(LINEST([0]!y_s6_c11,[0]!x_s6_c11^{1,2}),1)</f>
        <v>#VALUE!</v>
      </c>
      <c r="C24" t="e">
        <f>INDEX(LINEST([0]!y_s6_c11,[0]!x_s6_c11^{1,2}),1,2)</f>
        <v>#VALUE!</v>
      </c>
      <c r="F24" t="e">
        <f>INDEX(LINEST([0]!y_s6_c8,[0]!x_s6_c8^{1,2}),1)</f>
        <v>#VALUE!</v>
      </c>
      <c r="G24" t="e">
        <f>INDEX(LINEST([0]!y_s6_c8,[0]!x_s6_c8^{1,2}),1,2)</f>
        <v>#VALUE!</v>
      </c>
      <c r="J24" t="e">
        <f>INDEX(LINEST([0]!y_s6_c5,[0]!x_s6_c5^{1,2}),1)</f>
        <v>#VALUE!</v>
      </c>
      <c r="K24" t="e">
        <f>INDEX(LINEST([0]!y_s6_c5,[0]!x_s6_c5^{1,2}),1,2)</f>
        <v>#VALUE!</v>
      </c>
      <c r="N24" t="e">
        <f>INDEX(LINEST([0]!y_s6_c2,[0]!x_s6_c2^{1,2}),1)</f>
        <v>#VALUE!</v>
      </c>
      <c r="O24" t="e">
        <f>INDEX(LINEST([0]!y_s6_c2,[0]!x_s6_c2^{1,2}),1,2)</f>
        <v>#VALUE!</v>
      </c>
    </row>
    <row r="25" spans="1:23" x14ac:dyDescent="0.25">
      <c r="A25" t="s">
        <v>0</v>
      </c>
      <c r="B25" t="e">
        <f>-C24/(2*B24)</f>
        <v>#VALUE!</v>
      </c>
      <c r="E25" t="s">
        <v>0</v>
      </c>
      <c r="F25" t="e">
        <f>-G24/(2*F24)</f>
        <v>#VALUE!</v>
      </c>
      <c r="I25" t="s">
        <v>0</v>
      </c>
      <c r="J25" t="e">
        <f>-K24/(2*J24)</f>
        <v>#VALUE!</v>
      </c>
      <c r="M25" t="s">
        <v>0</v>
      </c>
      <c r="N25" t="e">
        <f>-O24/(2*N24)</f>
        <v>#VALUE!</v>
      </c>
    </row>
    <row r="37" spans="1:15" x14ac:dyDescent="0.25">
      <c r="B37" t="e">
        <f>INDEX(LINEST([0]!y_s6_c10,[0]!x_s6_c10^{1,2}),1)</f>
        <v>#VALUE!</v>
      </c>
      <c r="C37" t="e">
        <f>INDEX(LINEST([0]!y_s6_c10,[0]!x_s6_c10^{1,2}),1,2)</f>
        <v>#VALUE!</v>
      </c>
      <c r="F37" t="e">
        <f>INDEX(LINEST([0]!y_s6_c7,[0]!x_s6_c7^{1,2}),1)</f>
        <v>#VALUE!</v>
      </c>
      <c r="G37" t="e">
        <f>INDEX(LINEST([0]!y_s6_c7,[0]!x_s6_c7^{1,2}),1,2)</f>
        <v>#VALUE!</v>
      </c>
      <c r="J37" t="e">
        <f>INDEX(LINEST([0]!y_s6_c4,[0]!x_s6_c4^{1,2}),1)</f>
        <v>#VALUE!</v>
      </c>
      <c r="K37" t="e">
        <f>INDEX(LINEST([0]!y_s6_c4,[0]!x_s6_c4^{1,2}),1,2)</f>
        <v>#VALUE!</v>
      </c>
      <c r="N37" t="e">
        <f>INDEX(LINEST([0]!y_s6_c1,[0]!x_s6_c1^{1,2}),1)</f>
        <v>#VALUE!</v>
      </c>
      <c r="O37" t="e">
        <f>INDEX(LINEST([0]!y_s6_c1,[0]!x_s6_c1^{1,2}),1,2)</f>
        <v>#VALUE!</v>
      </c>
    </row>
    <row r="38" spans="1:15" x14ac:dyDescent="0.25">
      <c r="A38" t="s">
        <v>1</v>
      </c>
      <c r="B38" t="e">
        <f>-C37/(2*B37)</f>
        <v>#VALUE!</v>
      </c>
      <c r="E38" t="s">
        <v>1</v>
      </c>
      <c r="F38" t="e">
        <f>-G37/(2*F37)</f>
        <v>#VALUE!</v>
      </c>
      <c r="I38" t="s">
        <v>0</v>
      </c>
      <c r="J38" t="e">
        <f>-K37/(2*J37)</f>
        <v>#VALUE!</v>
      </c>
      <c r="M38" t="s">
        <v>0</v>
      </c>
      <c r="N38" t="e">
        <f>-O37/(2*N37)</f>
        <v>#VALUE!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topLeftCell="M1" workbookViewId="0">
      <selection activeCell="AA5" sqref="AA5:BU38"/>
    </sheetView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6</v>
      </c>
      <c r="AC2">
        <v>11</v>
      </c>
      <c r="AE2" t="s">
        <v>12</v>
      </c>
      <c r="AF2">
        <v>6</v>
      </c>
      <c r="AG2">
        <v>10</v>
      </c>
      <c r="AI2" t="s">
        <v>12</v>
      </c>
      <c r="AJ2">
        <v>6</v>
      </c>
      <c r="AK2">
        <v>9</v>
      </c>
      <c r="AM2" t="s">
        <v>12</v>
      </c>
      <c r="AN2">
        <v>6</v>
      </c>
      <c r="AO2">
        <v>8</v>
      </c>
      <c r="AQ2" t="s">
        <v>12</v>
      </c>
      <c r="AR2">
        <v>6</v>
      </c>
      <c r="AS2">
        <v>7</v>
      </c>
      <c r="AU2" t="s">
        <v>12</v>
      </c>
      <c r="AV2">
        <v>6</v>
      </c>
      <c r="AW2">
        <v>6</v>
      </c>
      <c r="AY2" t="s">
        <v>12</v>
      </c>
      <c r="AZ2">
        <v>6</v>
      </c>
      <c r="BA2">
        <v>5</v>
      </c>
      <c r="BC2" t="s">
        <v>12</v>
      </c>
      <c r="BD2">
        <v>6</v>
      </c>
      <c r="BE2">
        <v>4</v>
      </c>
      <c r="BG2" t="s">
        <v>12</v>
      </c>
      <c r="BH2">
        <v>6</v>
      </c>
      <c r="BI2">
        <v>3</v>
      </c>
      <c r="BK2" t="s">
        <v>12</v>
      </c>
      <c r="BL2">
        <v>6</v>
      </c>
      <c r="BM2">
        <v>2</v>
      </c>
      <c r="BO2" t="s">
        <v>12</v>
      </c>
      <c r="BP2">
        <v>6</v>
      </c>
      <c r="BQ2">
        <v>1</v>
      </c>
      <c r="BS2" t="s">
        <v>12</v>
      </c>
      <c r="BT2">
        <v>6</v>
      </c>
      <c r="BU2">
        <v>0</v>
      </c>
    </row>
    <row r="3" spans="1:73" x14ac:dyDescent="0.25">
      <c r="R3" t="e">
        <f>B12</f>
        <v>#VALUE!</v>
      </c>
      <c r="S3">
        <v>-99</v>
      </c>
    </row>
    <row r="4" spans="1:73" x14ac:dyDescent="0.25">
      <c r="R4" t="e">
        <f>B25</f>
        <v>#VALUE!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 t="e">
        <f>B38</f>
        <v>#VALUE!</v>
      </c>
      <c r="S5">
        <v>-81</v>
      </c>
    </row>
    <row r="6" spans="1:73" x14ac:dyDescent="0.25">
      <c r="R6" t="e">
        <f>F12</f>
        <v>#VALUE!</v>
      </c>
      <c r="S6">
        <v>-72</v>
      </c>
    </row>
    <row r="7" spans="1:73" x14ac:dyDescent="0.25">
      <c r="R7" t="e">
        <f>F25</f>
        <v>#VALUE!</v>
      </c>
      <c r="S7">
        <v>-63</v>
      </c>
    </row>
    <row r="8" spans="1:73" x14ac:dyDescent="0.25">
      <c r="R8" t="e">
        <f>F38</f>
        <v>#VALUE!</v>
      </c>
      <c r="S8">
        <v>-54</v>
      </c>
    </row>
    <row r="9" spans="1:73" x14ac:dyDescent="0.25">
      <c r="R9" t="e">
        <f>J12</f>
        <v>#VALUE!</v>
      </c>
      <c r="S9">
        <v>-45</v>
      </c>
    </row>
    <row r="10" spans="1:73" x14ac:dyDescent="0.25">
      <c r="R10" t="e">
        <f>J25</f>
        <v>#VALUE!</v>
      </c>
      <c r="S10">
        <v>-36</v>
      </c>
    </row>
    <row r="11" spans="1:73" x14ac:dyDescent="0.25">
      <c r="B11" t="e">
        <f>INDEX(LINEST([0]!y_s7_c12,[0]!x_s7_c12^{1,2}),1)</f>
        <v>#VALUE!</v>
      </c>
      <c r="C11" t="e">
        <f>INDEX(LINEST([0]!y_s7_c12,[0]!x_s7_c12^{1,2}),1,2)</f>
        <v>#VALUE!</v>
      </c>
      <c r="F11" t="e">
        <f>INDEX(LINEST([0]!y_s7_c9,[0]!x_s7_c9^{1,2}),1)</f>
        <v>#VALUE!</v>
      </c>
      <c r="G11" t="e">
        <f>INDEX(LINEST([0]!y_s7_c9,[0]!x_s7_c9^{1,2}),1,2)</f>
        <v>#VALUE!</v>
      </c>
      <c r="J11" t="e">
        <f>INDEX(LINEST([0]!y_s7_c6,[0]!x_s7_c6^{1,2}),1)</f>
        <v>#VALUE!</v>
      </c>
      <c r="K11" t="e">
        <f>INDEX(LINEST([0]!y_s7_c6,[0]!x_s7_c6^{1,2}),1,2)</f>
        <v>#VALUE!</v>
      </c>
      <c r="N11" t="e">
        <f>INDEX(LINEST([0]!y_s7_c3,[0]!x_s7_c3^{1,2}),1)</f>
        <v>#VALUE!</v>
      </c>
      <c r="O11" t="e">
        <f>INDEX(LINEST([0]!y_s7_c3,[0]!x_s7_c3^{1,2}),1,2)</f>
        <v>#VALUE!</v>
      </c>
      <c r="R11" t="e">
        <f>J38</f>
        <v>#VALUE!</v>
      </c>
      <c r="S11">
        <v>-27</v>
      </c>
    </row>
    <row r="12" spans="1:73" x14ac:dyDescent="0.25">
      <c r="A12" t="s">
        <v>0</v>
      </c>
      <c r="B12" t="e">
        <f>-C11/(2*B11)</f>
        <v>#VALUE!</v>
      </c>
      <c r="E12" t="s">
        <v>0</v>
      </c>
      <c r="F12" t="e">
        <f>-G11/(2*F11)</f>
        <v>#VALUE!</v>
      </c>
      <c r="I12" t="s">
        <v>1</v>
      </c>
      <c r="J12" t="e">
        <f>-K11/(2*J11)</f>
        <v>#VALUE!</v>
      </c>
      <c r="M12" t="s">
        <v>1</v>
      </c>
      <c r="N12" t="e">
        <f>-O11/(2*N11)</f>
        <v>#VALUE!</v>
      </c>
      <c r="R12" t="e">
        <f>N12</f>
        <v>#VALUE!</v>
      </c>
      <c r="S12">
        <v>-18</v>
      </c>
    </row>
    <row r="13" spans="1:73" x14ac:dyDescent="0.25">
      <c r="R13" t="e">
        <f>N25</f>
        <v>#VALUE!</v>
      </c>
      <c r="S13">
        <v>-9</v>
      </c>
    </row>
    <row r="14" spans="1:73" x14ac:dyDescent="0.25">
      <c r="R14" t="e">
        <f>N38</f>
        <v>#VALUE!</v>
      </c>
      <c r="S14">
        <v>0</v>
      </c>
    </row>
    <row r="17" spans="1:23" x14ac:dyDescent="0.25">
      <c r="R17" t="s">
        <v>4</v>
      </c>
      <c r="S17" t="e">
        <f>SLOPE(R3:R14,S3:S14)</f>
        <v>#VALUE!</v>
      </c>
      <c r="U17" t="s">
        <v>15</v>
      </c>
      <c r="V17" t="e">
        <f>(180 * ATAN(S17) / PI())</f>
        <v>#VALUE!</v>
      </c>
      <c r="W17" t="s">
        <v>6</v>
      </c>
    </row>
    <row r="18" spans="1:23" x14ac:dyDescent="0.25">
      <c r="R18" t="s">
        <v>5</v>
      </c>
      <c r="S18" t="e">
        <f>INTERCEPT(R3:R14,S3:S14)</f>
        <v>#VALUE!</v>
      </c>
    </row>
    <row r="24" spans="1:23" x14ac:dyDescent="0.25">
      <c r="B24" t="e">
        <f>INDEX(LINEST([0]!y_s7_c11,[0]!x_s7_c11^{1,2}),1)</f>
        <v>#VALUE!</v>
      </c>
      <c r="C24" t="e">
        <f>INDEX(LINEST([0]!y_s7_c11,[0]!x_s7_c11^{1,2}),1,2)</f>
        <v>#VALUE!</v>
      </c>
      <c r="F24" t="e">
        <f>INDEX(LINEST([0]!y_s7_c8,[0]!x_s7_c8^{1,2}),1)</f>
        <v>#VALUE!</v>
      </c>
      <c r="G24" t="e">
        <f>INDEX(LINEST([0]!y_s7_c8,[0]!x_s7_c8^{1,2}),1,2)</f>
        <v>#VALUE!</v>
      </c>
      <c r="J24" t="e">
        <f>INDEX(LINEST([0]!y_s7_c5,[0]!x_s7_c5^{1,2}),1)</f>
        <v>#VALUE!</v>
      </c>
      <c r="K24" t="e">
        <f>INDEX(LINEST([0]!y_s7_c5,[0]!x_s7_c5^{1,2}),1,2)</f>
        <v>#VALUE!</v>
      </c>
      <c r="N24" t="e">
        <f>INDEX(LINEST([0]!y_s7_c2,[0]!x_s7_c2^{1,2}),1)</f>
        <v>#VALUE!</v>
      </c>
      <c r="O24" t="e">
        <f>INDEX(LINEST([0]!y_s7_c2,[0]!x_s7_c2^{1,2}),1,2)</f>
        <v>#VALUE!</v>
      </c>
    </row>
    <row r="25" spans="1:23" x14ac:dyDescent="0.25">
      <c r="A25" t="s">
        <v>0</v>
      </c>
      <c r="B25" t="e">
        <f>-C24/(2*B24)</f>
        <v>#VALUE!</v>
      </c>
      <c r="E25" t="s">
        <v>0</v>
      </c>
      <c r="F25" t="e">
        <f>-G24/(2*F24)</f>
        <v>#VALUE!</v>
      </c>
      <c r="I25" t="s">
        <v>0</v>
      </c>
      <c r="J25" t="e">
        <f>-K24/(2*J24)</f>
        <v>#VALUE!</v>
      </c>
      <c r="M25" t="s">
        <v>0</v>
      </c>
      <c r="N25" t="e">
        <f>-O24/(2*N24)</f>
        <v>#VALUE!</v>
      </c>
    </row>
    <row r="37" spans="1:15" x14ac:dyDescent="0.25">
      <c r="B37" t="e">
        <f>INDEX(LINEST([0]!y_s7_c10,[0]!x_s7_c10^{1,2}),1)</f>
        <v>#VALUE!</v>
      </c>
      <c r="C37" t="e">
        <f>INDEX(LINEST([0]!y_s7_c10,[0]!x_s7_c10^{1,2}),1,2)</f>
        <v>#VALUE!</v>
      </c>
      <c r="F37" t="e">
        <f>INDEX(LINEST([0]!y_s7_c7,[0]!x_s7_c7^{1,2}),1)</f>
        <v>#VALUE!</v>
      </c>
      <c r="G37" t="e">
        <f>INDEX(LINEST([0]!y_s7_c7,[0]!x_s7_c7^{1,2}),1,2)</f>
        <v>#VALUE!</v>
      </c>
      <c r="J37" t="e">
        <f>INDEX(LINEST([0]!y_s7_c4,[0]!x_s7_c4^{1,2}),1)</f>
        <v>#VALUE!</v>
      </c>
      <c r="K37" t="e">
        <f>INDEX(LINEST([0]!y_s7_c4,[0]!x_s7_c4^{1,2}),1,2)</f>
        <v>#VALUE!</v>
      </c>
      <c r="N37" t="e">
        <f>INDEX(LINEST([0]!y_s7_c1,[0]!x_s7_c1^{1,2}),1)</f>
        <v>#VALUE!</v>
      </c>
      <c r="O37" t="e">
        <f>INDEX(LINEST([0]!y_s7_c1,[0]!x_s7_c1^{1,2}),1,2)</f>
        <v>#VALUE!</v>
      </c>
    </row>
    <row r="38" spans="1:15" x14ac:dyDescent="0.25">
      <c r="A38" t="s">
        <v>1</v>
      </c>
      <c r="B38" t="e">
        <f>-C37/(2*B37)</f>
        <v>#VALUE!</v>
      </c>
      <c r="E38" t="s">
        <v>1</v>
      </c>
      <c r="F38" t="e">
        <f>-G37/(2*F37)</f>
        <v>#VALUE!</v>
      </c>
      <c r="I38" t="s">
        <v>0</v>
      </c>
      <c r="J38" t="e">
        <f>-K37/(2*J37)</f>
        <v>#VALUE!</v>
      </c>
      <c r="M38" t="s">
        <v>0</v>
      </c>
      <c r="N38" t="e">
        <f>-O37/(2*N37)</f>
        <v>#VALUE!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topLeftCell="M1" workbookViewId="0">
      <selection activeCell="AA5" sqref="AA5:BU38"/>
    </sheetView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7</v>
      </c>
      <c r="AC2">
        <v>11</v>
      </c>
      <c r="AE2" t="s">
        <v>12</v>
      </c>
      <c r="AF2">
        <v>7</v>
      </c>
      <c r="AG2">
        <v>10</v>
      </c>
      <c r="AI2" t="s">
        <v>12</v>
      </c>
      <c r="AJ2">
        <v>7</v>
      </c>
      <c r="AK2">
        <v>9</v>
      </c>
      <c r="AM2" t="s">
        <v>12</v>
      </c>
      <c r="AN2">
        <v>7</v>
      </c>
      <c r="AO2">
        <v>8</v>
      </c>
      <c r="AQ2" t="s">
        <v>12</v>
      </c>
      <c r="AR2">
        <v>7</v>
      </c>
      <c r="AS2">
        <v>7</v>
      </c>
      <c r="AU2" t="s">
        <v>12</v>
      </c>
      <c r="AV2">
        <v>7</v>
      </c>
      <c r="AW2">
        <v>6</v>
      </c>
      <c r="AY2" t="s">
        <v>12</v>
      </c>
      <c r="AZ2">
        <v>7</v>
      </c>
      <c r="BA2">
        <v>5</v>
      </c>
      <c r="BC2" t="s">
        <v>12</v>
      </c>
      <c r="BD2">
        <v>7</v>
      </c>
      <c r="BE2">
        <v>4</v>
      </c>
      <c r="BG2" t="s">
        <v>12</v>
      </c>
      <c r="BH2">
        <v>7</v>
      </c>
      <c r="BI2">
        <v>3</v>
      </c>
      <c r="BK2" t="s">
        <v>12</v>
      </c>
      <c r="BL2">
        <v>7</v>
      </c>
      <c r="BM2">
        <v>2</v>
      </c>
      <c r="BO2" t="s">
        <v>12</v>
      </c>
      <c r="BP2">
        <v>7</v>
      </c>
      <c r="BQ2">
        <v>1</v>
      </c>
      <c r="BS2" t="s">
        <v>12</v>
      </c>
      <c r="BT2">
        <v>7</v>
      </c>
      <c r="BU2">
        <v>0</v>
      </c>
    </row>
    <row r="3" spans="1:73" x14ac:dyDescent="0.25">
      <c r="R3" t="e">
        <f>B12</f>
        <v>#VALUE!</v>
      </c>
      <c r="S3">
        <v>-99</v>
      </c>
    </row>
    <row r="4" spans="1:73" x14ac:dyDescent="0.25">
      <c r="R4" t="e">
        <f>B25</f>
        <v>#VALUE!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 t="e">
        <f>B38</f>
        <v>#VALUE!</v>
      </c>
      <c r="S5">
        <v>-81</v>
      </c>
    </row>
    <row r="6" spans="1:73" x14ac:dyDescent="0.25">
      <c r="R6" t="e">
        <f>F12</f>
        <v>#VALUE!</v>
      </c>
      <c r="S6">
        <v>-72</v>
      </c>
    </row>
    <row r="7" spans="1:73" x14ac:dyDescent="0.25">
      <c r="R7" t="e">
        <f>F25</f>
        <v>#VALUE!</v>
      </c>
      <c r="S7">
        <v>-63</v>
      </c>
    </row>
    <row r="8" spans="1:73" x14ac:dyDescent="0.25">
      <c r="R8" t="e">
        <f>F38</f>
        <v>#VALUE!</v>
      </c>
      <c r="S8">
        <v>-54</v>
      </c>
    </row>
    <row r="9" spans="1:73" x14ac:dyDescent="0.25">
      <c r="R9" t="e">
        <f>J12</f>
        <v>#VALUE!</v>
      </c>
      <c r="S9">
        <v>-45</v>
      </c>
    </row>
    <row r="10" spans="1:73" x14ac:dyDescent="0.25">
      <c r="R10" t="e">
        <f>J25</f>
        <v>#VALUE!</v>
      </c>
      <c r="S10">
        <v>-36</v>
      </c>
    </row>
    <row r="11" spans="1:73" x14ac:dyDescent="0.25">
      <c r="B11" t="e">
        <f>INDEX(LINEST([0]!y_s8_c12,[0]!x_s8_c12^{1,2}),1)</f>
        <v>#VALUE!</v>
      </c>
      <c r="C11" t="e">
        <f>INDEX(LINEST([0]!y_s8_c12,[0]!x_s8_c12^{1,2}),1,2)</f>
        <v>#VALUE!</v>
      </c>
      <c r="F11" t="e">
        <f>INDEX(LINEST([0]!y_s8_c9,[0]!x_s8_c9^{1,2}),1)</f>
        <v>#VALUE!</v>
      </c>
      <c r="G11" t="e">
        <f>INDEX(LINEST([0]!y_s8_c9,[0]!x_s8_c9^{1,2}),1,2)</f>
        <v>#VALUE!</v>
      </c>
      <c r="J11" t="e">
        <f>INDEX(LINEST([0]!y_s8_c6,[0]!x_s8_c6^{1,2}),1)</f>
        <v>#VALUE!</v>
      </c>
      <c r="K11" t="e">
        <f>INDEX(LINEST([0]!y_s8_c6,[0]!x_s8_c6^{1,2}),1,2)</f>
        <v>#VALUE!</v>
      </c>
      <c r="N11" t="e">
        <f>INDEX(LINEST([0]!y_s8_c3,[0]!x_s8_c3^{1,2}),1)</f>
        <v>#VALUE!</v>
      </c>
      <c r="O11" t="e">
        <f>INDEX(LINEST([0]!y_s8_c3,[0]!x_s8_c3^{1,2}),1,2)</f>
        <v>#VALUE!</v>
      </c>
      <c r="R11" t="e">
        <f>J38</f>
        <v>#VALUE!</v>
      </c>
      <c r="S11">
        <v>-27</v>
      </c>
    </row>
    <row r="12" spans="1:73" x14ac:dyDescent="0.25">
      <c r="A12" t="s">
        <v>0</v>
      </c>
      <c r="B12" t="e">
        <f>-C11/(2*B11)</f>
        <v>#VALUE!</v>
      </c>
      <c r="E12" t="s">
        <v>0</v>
      </c>
      <c r="F12" t="e">
        <f>-G11/(2*F11)</f>
        <v>#VALUE!</v>
      </c>
      <c r="I12" t="s">
        <v>1</v>
      </c>
      <c r="J12" t="e">
        <f>-K11/(2*J11)</f>
        <v>#VALUE!</v>
      </c>
      <c r="M12" t="s">
        <v>1</v>
      </c>
      <c r="N12" t="e">
        <f>-O11/(2*N11)</f>
        <v>#VALUE!</v>
      </c>
      <c r="R12" t="e">
        <f>N12</f>
        <v>#VALUE!</v>
      </c>
      <c r="S12">
        <v>-18</v>
      </c>
    </row>
    <row r="13" spans="1:73" x14ac:dyDescent="0.25">
      <c r="R13" t="e">
        <f>N25</f>
        <v>#VALUE!</v>
      </c>
      <c r="S13">
        <v>-9</v>
      </c>
    </row>
    <row r="14" spans="1:73" x14ac:dyDescent="0.25">
      <c r="R14" t="e">
        <f>N38</f>
        <v>#VALUE!</v>
      </c>
      <c r="S14">
        <v>0</v>
      </c>
    </row>
    <row r="17" spans="1:23" x14ac:dyDescent="0.25">
      <c r="R17" t="s">
        <v>4</v>
      </c>
      <c r="S17" t="e">
        <f>SLOPE(R3:R14,S3:S14)</f>
        <v>#VALUE!</v>
      </c>
      <c r="U17" t="s">
        <v>15</v>
      </c>
      <c r="V17" t="e">
        <f>(180 * ATAN(S17) / PI())</f>
        <v>#VALUE!</v>
      </c>
      <c r="W17" t="s">
        <v>6</v>
      </c>
    </row>
    <row r="18" spans="1:23" x14ac:dyDescent="0.25">
      <c r="R18" t="s">
        <v>5</v>
      </c>
      <c r="S18" t="e">
        <f>INTERCEPT(R3:R14,S3:S14)</f>
        <v>#VALUE!</v>
      </c>
    </row>
    <row r="24" spans="1:23" x14ac:dyDescent="0.25">
      <c r="B24" t="e">
        <f>INDEX(LINEST([0]!y_s8_c11,[0]!x_s8_c11^{1,2}),1)</f>
        <v>#VALUE!</v>
      </c>
      <c r="C24" t="e">
        <f>INDEX(LINEST([0]!y_s8_c11,[0]!x_s8_c11^{1,2}),1,2)</f>
        <v>#VALUE!</v>
      </c>
      <c r="F24" t="e">
        <f>INDEX(LINEST([0]!y_s8_c8,[0]!x_s8_c8^{1,2}),1)</f>
        <v>#VALUE!</v>
      </c>
      <c r="G24" t="e">
        <f>INDEX(LINEST([0]!y_s8_c8,[0]!x_s8_c8^{1,2}),1,2)</f>
        <v>#VALUE!</v>
      </c>
      <c r="J24" t="e">
        <f>INDEX(LINEST([0]!y_s8_c5,[0]!x_s8_c5^{1,2}),1)</f>
        <v>#VALUE!</v>
      </c>
      <c r="K24" t="e">
        <f>INDEX(LINEST([0]!y_s8_c5,[0]!x_s8_c5^{1,2}),1,2)</f>
        <v>#VALUE!</v>
      </c>
      <c r="N24" t="e">
        <f>INDEX(LINEST([0]!y_s8_c2,[0]!x_s8_c2^{1,2}),1)</f>
        <v>#VALUE!</v>
      </c>
      <c r="O24" t="e">
        <f>INDEX(LINEST([0]!y_s8_c2,[0]!x_s8_c2^{1,2}),1,2)</f>
        <v>#VALUE!</v>
      </c>
    </row>
    <row r="25" spans="1:23" x14ac:dyDescent="0.25">
      <c r="A25" t="s">
        <v>0</v>
      </c>
      <c r="B25" t="e">
        <f>-C24/(2*B24)</f>
        <v>#VALUE!</v>
      </c>
      <c r="E25" t="s">
        <v>0</v>
      </c>
      <c r="F25" t="e">
        <f>-G24/(2*F24)</f>
        <v>#VALUE!</v>
      </c>
      <c r="I25" t="s">
        <v>0</v>
      </c>
      <c r="J25" t="e">
        <f>-K24/(2*J24)</f>
        <v>#VALUE!</v>
      </c>
      <c r="M25" t="s">
        <v>0</v>
      </c>
      <c r="N25" t="e">
        <f>-O24/(2*N24)</f>
        <v>#VALUE!</v>
      </c>
    </row>
    <row r="37" spans="1:15" x14ac:dyDescent="0.25">
      <c r="B37" t="e">
        <f>INDEX(LINEST([0]!y_s8_c10,[0]!x_s8_c10^{1,2}),1)</f>
        <v>#VALUE!</v>
      </c>
      <c r="C37" t="e">
        <f>INDEX(LINEST([0]!y_s8_c10,[0]!x_s8_c10^{1,2}),1,2)</f>
        <v>#VALUE!</v>
      </c>
      <c r="F37" t="e">
        <f>INDEX(LINEST([0]!y_s8_c7,[0]!x_s8_c7^{1,2}),1)</f>
        <v>#VALUE!</v>
      </c>
      <c r="G37" t="e">
        <f>INDEX(LINEST([0]!y_s8_c7,[0]!x_s8_c7^{1,2}),1,2)</f>
        <v>#VALUE!</v>
      </c>
      <c r="J37" t="e">
        <f>INDEX(LINEST([0]!y_s8_c4,[0]!x_s8_c4^{1,2}),1)</f>
        <v>#VALUE!</v>
      </c>
      <c r="K37" t="e">
        <f>INDEX(LINEST([0]!y_s8_c4,[0]!x_s8_c4^{1,2}),1,2)</f>
        <v>#VALUE!</v>
      </c>
      <c r="N37" t="e">
        <f>INDEX(LINEST([0]!y_s8_c1,[0]!x_s8_c1^{1,2}),1)</f>
        <v>#VALUE!</v>
      </c>
      <c r="O37" t="e">
        <f>INDEX(LINEST([0]!y_s8_c1,[0]!x_s8_c1^{1,2}),1,2)</f>
        <v>#VALUE!</v>
      </c>
    </row>
    <row r="38" spans="1:15" x14ac:dyDescent="0.25">
      <c r="A38" t="s">
        <v>1</v>
      </c>
      <c r="B38" t="e">
        <f>-C37/(2*B37)</f>
        <v>#VALUE!</v>
      </c>
      <c r="E38" t="s">
        <v>1</v>
      </c>
      <c r="F38" t="e">
        <f>-G37/(2*F37)</f>
        <v>#VALUE!</v>
      </c>
      <c r="I38" t="s">
        <v>0</v>
      </c>
      <c r="J38" t="e">
        <f>-K37/(2*J37)</f>
        <v>#VALUE!</v>
      </c>
      <c r="M38" t="s">
        <v>0</v>
      </c>
      <c r="N38" t="e">
        <f>-O37/(2*N37)</f>
        <v>#VALUE!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J4" sqref="J4:J14"/>
    </sheetView>
  </sheetViews>
  <sheetFormatPr defaultRowHeight="15" x14ac:dyDescent="0.25"/>
  <sheetData>
    <row r="1" spans="1:11" x14ac:dyDescent="0.25">
      <c r="J1" t="s">
        <v>14</v>
      </c>
    </row>
    <row r="2" spans="1:11" x14ac:dyDescent="0.25">
      <c r="B2" t="s">
        <v>7</v>
      </c>
      <c r="C2" t="s">
        <v>3</v>
      </c>
      <c r="J2" t="s">
        <v>7</v>
      </c>
      <c r="K2" t="s">
        <v>3</v>
      </c>
    </row>
    <row r="3" spans="1:11" x14ac:dyDescent="0.25">
      <c r="B3" t="e">
        <f>('Sensor 1'!R3+'Sensor 2'!R3+'Sensor 3'!R3+'Sensor 4'!R3+'Sensor 5'!R3+'Sensor 6'!R3+'Sensor 7'!R3+'Sensor 8'!R3)/8</f>
        <v>#VALUE!</v>
      </c>
      <c r="C3">
        <v>-99</v>
      </c>
      <c r="J3" t="e">
        <f>B3-$C$18</f>
        <v>#VALUE!</v>
      </c>
      <c r="K3">
        <v>-99</v>
      </c>
    </row>
    <row r="4" spans="1:11" x14ac:dyDescent="0.25">
      <c r="B4" t="e">
        <f>('Sensor 1'!R4+'Sensor 2'!R4+'Sensor 3'!R4+'Sensor 4'!R4+'Sensor 5'!R4+'Sensor 6'!R4+'Sensor 7'!R4+'Sensor 8'!R4)/8</f>
        <v>#VALUE!</v>
      </c>
      <c r="C4">
        <v>-90</v>
      </c>
      <c r="J4" t="e">
        <f t="shared" ref="J4:J14" si="0">B4-$B$14</f>
        <v>#VALUE!</v>
      </c>
      <c r="K4">
        <v>-90</v>
      </c>
    </row>
    <row r="5" spans="1:11" x14ac:dyDescent="0.25">
      <c r="B5" t="e">
        <f>('Sensor 1'!R5+'Sensor 2'!R5+'Sensor 3'!R5+'Sensor 4'!R5+'Sensor 5'!R5+'Sensor 6'!R5+'Sensor 7'!R5+'Sensor 8'!R5)/8</f>
        <v>#VALUE!</v>
      </c>
      <c r="C5">
        <v>-81</v>
      </c>
      <c r="J5" t="e">
        <f t="shared" si="0"/>
        <v>#VALUE!</v>
      </c>
      <c r="K5">
        <v>-81</v>
      </c>
    </row>
    <row r="6" spans="1:11" x14ac:dyDescent="0.25">
      <c r="B6" t="e">
        <f>('Sensor 1'!R6+'Sensor 2'!R6+'Sensor 3'!R6+'Sensor 4'!R6+'Sensor 5'!R6+'Sensor 6'!R6+'Sensor 7'!R6+'Sensor 8'!R6)/8</f>
        <v>#VALUE!</v>
      </c>
      <c r="C6">
        <v>-72</v>
      </c>
      <c r="J6" t="e">
        <f t="shared" si="0"/>
        <v>#VALUE!</v>
      </c>
      <c r="K6">
        <v>-72</v>
      </c>
    </row>
    <row r="7" spans="1:11" x14ac:dyDescent="0.25">
      <c r="B7" t="e">
        <f>('Sensor 1'!R7+'Sensor 2'!R7+'Sensor 3'!R7+'Sensor 4'!R7+'Sensor 5'!R7+'Sensor 6'!R7+'Sensor 7'!R7+'Sensor 8'!R7)/8</f>
        <v>#VALUE!</v>
      </c>
      <c r="C7">
        <v>-63</v>
      </c>
      <c r="J7" t="e">
        <f t="shared" si="0"/>
        <v>#VALUE!</v>
      </c>
      <c r="K7">
        <v>-63</v>
      </c>
    </row>
    <row r="8" spans="1:11" x14ac:dyDescent="0.25">
      <c r="B8" t="e">
        <f>('Sensor 1'!R8+'Sensor 2'!R8+'Sensor 3'!R8+'Sensor 4'!R8+'Sensor 5'!R8+'Sensor 6'!R8+'Sensor 7'!R8+'Sensor 8'!R8)/8</f>
        <v>#VALUE!</v>
      </c>
      <c r="C8">
        <v>-54</v>
      </c>
      <c r="J8" t="e">
        <f t="shared" si="0"/>
        <v>#VALUE!</v>
      </c>
      <c r="K8">
        <v>-54</v>
      </c>
    </row>
    <row r="9" spans="1:11" x14ac:dyDescent="0.25">
      <c r="B9" t="e">
        <f>('Sensor 1'!R9+'Sensor 2'!R9+'Sensor 3'!R9+'Sensor 4'!R9+'Sensor 5'!R9+'Sensor 6'!R9+'Sensor 7'!R9+'Sensor 8'!R9)/8</f>
        <v>#VALUE!</v>
      </c>
      <c r="C9">
        <v>-45</v>
      </c>
      <c r="J9" t="e">
        <f t="shared" si="0"/>
        <v>#VALUE!</v>
      </c>
      <c r="K9">
        <v>-45</v>
      </c>
    </row>
    <row r="10" spans="1:11" x14ac:dyDescent="0.25">
      <c r="B10" t="e">
        <f>('Sensor 1'!R10+'Sensor 2'!R10+'Sensor 3'!R10+'Sensor 4'!R10+'Sensor 5'!R10+'Sensor 6'!R10+'Sensor 7'!R10+'Sensor 8'!R10)/8</f>
        <v>#VALUE!</v>
      </c>
      <c r="C10">
        <v>-36</v>
      </c>
      <c r="J10" t="e">
        <f t="shared" si="0"/>
        <v>#VALUE!</v>
      </c>
      <c r="K10">
        <v>-36</v>
      </c>
    </row>
    <row r="11" spans="1:11" x14ac:dyDescent="0.25">
      <c r="B11" t="e">
        <f>('Sensor 1'!R11+'Sensor 2'!R11+'Sensor 3'!R11+'Sensor 4'!R11+'Sensor 5'!R11+'Sensor 6'!R11+'Sensor 7'!R11+'Sensor 8'!R11)/8</f>
        <v>#VALUE!</v>
      </c>
      <c r="C11">
        <v>-27</v>
      </c>
      <c r="J11" t="e">
        <f t="shared" si="0"/>
        <v>#VALUE!</v>
      </c>
      <c r="K11">
        <v>-27</v>
      </c>
    </row>
    <row r="12" spans="1:11" x14ac:dyDescent="0.25">
      <c r="B12" t="e">
        <f>('Sensor 1'!R12+'Sensor 2'!R12+'Sensor 3'!R12+'Sensor 4'!R12+'Sensor 5'!R12+'Sensor 6'!R12+'Sensor 7'!R12+'Sensor 8'!R12)/8</f>
        <v>#VALUE!</v>
      </c>
      <c r="C12">
        <v>-18</v>
      </c>
      <c r="J12" t="e">
        <f t="shared" si="0"/>
        <v>#VALUE!</v>
      </c>
      <c r="K12">
        <v>-18</v>
      </c>
    </row>
    <row r="13" spans="1:11" x14ac:dyDescent="0.25">
      <c r="B13" t="e">
        <f>('Sensor 1'!R13+'Sensor 2'!R13+'Sensor 3'!R13+'Sensor 4'!R13+'Sensor 5'!R13+'Sensor 6'!R13+'Sensor 7'!R13+'Sensor 8'!R13)/8</f>
        <v>#VALUE!</v>
      </c>
      <c r="C13">
        <v>-9</v>
      </c>
      <c r="J13" t="e">
        <f t="shared" si="0"/>
        <v>#VALUE!</v>
      </c>
      <c r="K13">
        <v>-9</v>
      </c>
    </row>
    <row r="14" spans="1:11" x14ac:dyDescent="0.25">
      <c r="B14" t="e">
        <f>('Sensor 1'!R14+'Sensor 2'!R14+'Sensor 3'!R14+'Sensor 4'!R14+'Sensor 5'!R14+'Sensor 6'!R14+'Sensor 7'!R14+'Sensor 8'!R14)/8</f>
        <v>#VALUE!</v>
      </c>
      <c r="C14">
        <v>0</v>
      </c>
      <c r="J14" t="e">
        <f t="shared" si="0"/>
        <v>#VALUE!</v>
      </c>
      <c r="K14">
        <v>0</v>
      </c>
    </row>
    <row r="16" spans="1:11" x14ac:dyDescent="0.25">
      <c r="A16" t="s">
        <v>16</v>
      </c>
      <c r="B16" t="e">
        <f>AVERAGE(B3:B14)</f>
        <v>#VALUE!</v>
      </c>
    </row>
    <row r="17" spans="2:11" x14ac:dyDescent="0.25">
      <c r="B17" t="s">
        <v>4</v>
      </c>
      <c r="C17" t="e">
        <f>SLOPE(B3:B14,C3:C14)</f>
        <v>#VALUE!</v>
      </c>
      <c r="E17" t="s">
        <v>15</v>
      </c>
      <c r="F17" t="e">
        <f>(180 * ATAN(C17) / PI())</f>
        <v>#VALUE!</v>
      </c>
      <c r="J17" t="s">
        <v>4</v>
      </c>
      <c r="K17" t="e">
        <f>SLOPE(J3:J14,K3:K14)</f>
        <v>#VALUE!</v>
      </c>
    </row>
    <row r="18" spans="2:11" x14ac:dyDescent="0.25">
      <c r="B18" t="s">
        <v>5</v>
      </c>
      <c r="C18" t="e">
        <f>INTERCEPT(B3:B14,C3:C14)</f>
        <v>#VALUE!</v>
      </c>
      <c r="J18" t="s">
        <v>5</v>
      </c>
      <c r="K18" t="e">
        <f>INTERCEPT(J3:J14,K3:K14)</f>
        <v>#VALUE!</v>
      </c>
    </row>
    <row r="20" spans="2:11" x14ac:dyDescent="0.25">
      <c r="C20" t="s">
        <v>8</v>
      </c>
      <c r="D20" t="s">
        <v>8</v>
      </c>
      <c r="F20" t="e">
        <f>('Sensor 1'!V17+'Sensor 2'!$V$17+'Sensor 3'!V17+'Sensor 4'!$V$17+'Sensor 5'!V17+'Sensor 6'!V17+'Sensor 7'!V17+'Sensor 8'!V17)/8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192</vt:i4>
      </vt:variant>
    </vt:vector>
  </HeadingPairs>
  <TitlesOfParts>
    <vt:vector size="202" baseType="lpstr">
      <vt:lpstr>raw_data</vt:lpstr>
      <vt:lpstr>Sensor 1</vt:lpstr>
      <vt:lpstr>Sensor 2</vt:lpstr>
      <vt:lpstr>Sensor 3</vt:lpstr>
      <vt:lpstr>Sensor 4</vt:lpstr>
      <vt:lpstr>Sensor 5</vt:lpstr>
      <vt:lpstr>Sensor 6</vt:lpstr>
      <vt:lpstr>Sensor 7</vt:lpstr>
      <vt:lpstr>Sensor 8</vt:lpstr>
      <vt:lpstr>averaged line fit</vt:lpstr>
      <vt:lpstr>x_s1_c1</vt:lpstr>
      <vt:lpstr>x_s1_c10</vt:lpstr>
      <vt:lpstr>x_s1_c11</vt:lpstr>
      <vt:lpstr>x_s1_c12</vt:lpstr>
      <vt:lpstr>x_s1_c2</vt:lpstr>
      <vt:lpstr>x_s1_c3</vt:lpstr>
      <vt:lpstr>x_s1_c4</vt:lpstr>
      <vt:lpstr>x_s1_c5</vt:lpstr>
      <vt:lpstr>x_s1_c6</vt:lpstr>
      <vt:lpstr>x_s1_c7</vt:lpstr>
      <vt:lpstr>x_s1_c8</vt:lpstr>
      <vt:lpstr>x_s1_c9</vt:lpstr>
      <vt:lpstr>x_s2_c1</vt:lpstr>
      <vt:lpstr>x_s2_c10</vt:lpstr>
      <vt:lpstr>x_s2_c11</vt:lpstr>
      <vt:lpstr>x_s2_c12</vt:lpstr>
      <vt:lpstr>x_s2_c2</vt:lpstr>
      <vt:lpstr>x_s2_c3</vt:lpstr>
      <vt:lpstr>x_s2_c4</vt:lpstr>
      <vt:lpstr>x_s2_c5</vt:lpstr>
      <vt:lpstr>x_s2_c6</vt:lpstr>
      <vt:lpstr>x_s2_c7</vt:lpstr>
      <vt:lpstr>x_s2_c8</vt:lpstr>
      <vt:lpstr>x_s2_c9</vt:lpstr>
      <vt:lpstr>x_s3_c1</vt:lpstr>
      <vt:lpstr>x_s3_c10</vt:lpstr>
      <vt:lpstr>x_s3_c11</vt:lpstr>
      <vt:lpstr>x_s3_c12</vt:lpstr>
      <vt:lpstr>x_s3_c2</vt:lpstr>
      <vt:lpstr>x_s3_c3</vt:lpstr>
      <vt:lpstr>x_s3_c4</vt:lpstr>
      <vt:lpstr>x_s3_c5</vt:lpstr>
      <vt:lpstr>x_s3_c6</vt:lpstr>
      <vt:lpstr>x_s3_c7</vt:lpstr>
      <vt:lpstr>x_s3_c8</vt:lpstr>
      <vt:lpstr>x_s3_c9</vt:lpstr>
      <vt:lpstr>x_s4_c1</vt:lpstr>
      <vt:lpstr>x_s4_c10</vt:lpstr>
      <vt:lpstr>x_s4_c11</vt:lpstr>
      <vt:lpstr>x_s4_c12</vt:lpstr>
      <vt:lpstr>x_s4_c2</vt:lpstr>
      <vt:lpstr>x_s4_c3</vt:lpstr>
      <vt:lpstr>x_s4_c4</vt:lpstr>
      <vt:lpstr>x_s4_c5</vt:lpstr>
      <vt:lpstr>x_s4_c6</vt:lpstr>
      <vt:lpstr>x_s4_c7</vt:lpstr>
      <vt:lpstr>x_s4_c8</vt:lpstr>
      <vt:lpstr>x_s4_c9</vt:lpstr>
      <vt:lpstr>x_s5_c1</vt:lpstr>
      <vt:lpstr>x_s5_c10</vt:lpstr>
      <vt:lpstr>x_s5_c11</vt:lpstr>
      <vt:lpstr>x_s5_c12</vt:lpstr>
      <vt:lpstr>x_s5_c2</vt:lpstr>
      <vt:lpstr>x_s5_c3</vt:lpstr>
      <vt:lpstr>x_s5_c4</vt:lpstr>
      <vt:lpstr>x_s5_c5</vt:lpstr>
      <vt:lpstr>x_s5_c6</vt:lpstr>
      <vt:lpstr>x_s5_c7</vt:lpstr>
      <vt:lpstr>x_s5_c8</vt:lpstr>
      <vt:lpstr>x_s5_c9</vt:lpstr>
      <vt:lpstr>x_s6_c1</vt:lpstr>
      <vt:lpstr>x_s6_c10</vt:lpstr>
      <vt:lpstr>x_s6_c11</vt:lpstr>
      <vt:lpstr>x_s6_c12</vt:lpstr>
      <vt:lpstr>x_s6_c2</vt:lpstr>
      <vt:lpstr>x_s6_c3</vt:lpstr>
      <vt:lpstr>x_s6_c4</vt:lpstr>
      <vt:lpstr>x_s6_c5</vt:lpstr>
      <vt:lpstr>x_s6_c6</vt:lpstr>
      <vt:lpstr>x_s6_c7</vt:lpstr>
      <vt:lpstr>x_s6_c8</vt:lpstr>
      <vt:lpstr>x_s6_c9</vt:lpstr>
      <vt:lpstr>x_s7_c1</vt:lpstr>
      <vt:lpstr>x_s7_c10</vt:lpstr>
      <vt:lpstr>x_s7_c11</vt:lpstr>
      <vt:lpstr>x_s7_c12</vt:lpstr>
      <vt:lpstr>x_s7_c2</vt:lpstr>
      <vt:lpstr>x_s7_c3</vt:lpstr>
      <vt:lpstr>x_s7_c4</vt:lpstr>
      <vt:lpstr>x_s7_c5</vt:lpstr>
      <vt:lpstr>x_s7_c6</vt:lpstr>
      <vt:lpstr>x_s7_c7</vt:lpstr>
      <vt:lpstr>x_s7_c8</vt:lpstr>
      <vt:lpstr>x_s7_c9</vt:lpstr>
      <vt:lpstr>x_s8_c1</vt:lpstr>
      <vt:lpstr>x_s8_c10</vt:lpstr>
      <vt:lpstr>x_s8_c11</vt:lpstr>
      <vt:lpstr>x_s8_c12</vt:lpstr>
      <vt:lpstr>x_s8_c2</vt:lpstr>
      <vt:lpstr>x_s8_c3</vt:lpstr>
      <vt:lpstr>x_s8_c4</vt:lpstr>
      <vt:lpstr>x_s8_c5</vt:lpstr>
      <vt:lpstr>x_s8_c6</vt:lpstr>
      <vt:lpstr>x_s8_c7</vt:lpstr>
      <vt:lpstr>x_s8_c8</vt:lpstr>
      <vt:lpstr>x_s8_c9</vt:lpstr>
      <vt:lpstr>y_s1_c1</vt:lpstr>
      <vt:lpstr>y_s1_c10</vt:lpstr>
      <vt:lpstr>y_s1_c11</vt:lpstr>
      <vt:lpstr>y_s1_c12</vt:lpstr>
      <vt:lpstr>y_s1_c2</vt:lpstr>
      <vt:lpstr>y_s1_c3</vt:lpstr>
      <vt:lpstr>y_s1_c4</vt:lpstr>
      <vt:lpstr>y_s1_c5</vt:lpstr>
      <vt:lpstr>y_s1_c6</vt:lpstr>
      <vt:lpstr>y_s1_c7</vt:lpstr>
      <vt:lpstr>y_s1_c8</vt:lpstr>
      <vt:lpstr>y_s1_c9</vt:lpstr>
      <vt:lpstr>y_s2_c1</vt:lpstr>
      <vt:lpstr>y_s2_c10</vt:lpstr>
      <vt:lpstr>y_s2_c11</vt:lpstr>
      <vt:lpstr>y_s2_c12</vt:lpstr>
      <vt:lpstr>y_s2_c2</vt:lpstr>
      <vt:lpstr>y_s2_c3</vt:lpstr>
      <vt:lpstr>y_s2_c4</vt:lpstr>
      <vt:lpstr>y_s2_c5</vt:lpstr>
      <vt:lpstr>y_s2_c6</vt:lpstr>
      <vt:lpstr>y_s2_c7</vt:lpstr>
      <vt:lpstr>y_s2_c8</vt:lpstr>
      <vt:lpstr>y_s2_c9</vt:lpstr>
      <vt:lpstr>y_s3_c1</vt:lpstr>
      <vt:lpstr>y_s3_c10</vt:lpstr>
      <vt:lpstr>y_s3_c11</vt:lpstr>
      <vt:lpstr>y_s3_c12</vt:lpstr>
      <vt:lpstr>y_s3_c2</vt:lpstr>
      <vt:lpstr>y_s3_c3</vt:lpstr>
      <vt:lpstr>y_s3_c4</vt:lpstr>
      <vt:lpstr>y_s3_c5</vt:lpstr>
      <vt:lpstr>y_s3_c6</vt:lpstr>
      <vt:lpstr>y_s3_c7</vt:lpstr>
      <vt:lpstr>y_s3_c8</vt:lpstr>
      <vt:lpstr>y_s3_c9</vt:lpstr>
      <vt:lpstr>y_s4_c1</vt:lpstr>
      <vt:lpstr>y_s4_c10</vt:lpstr>
      <vt:lpstr>y_s4_c11</vt:lpstr>
      <vt:lpstr>y_s4_c12</vt:lpstr>
      <vt:lpstr>y_s4_c2</vt:lpstr>
      <vt:lpstr>y_s4_c3</vt:lpstr>
      <vt:lpstr>y_s4_c4</vt:lpstr>
      <vt:lpstr>y_s4_c5</vt:lpstr>
      <vt:lpstr>y_s4_c6</vt:lpstr>
      <vt:lpstr>y_s4_c7</vt:lpstr>
      <vt:lpstr>y_s4_c8</vt:lpstr>
      <vt:lpstr>y_s4_c9</vt:lpstr>
      <vt:lpstr>y_s5_c1</vt:lpstr>
      <vt:lpstr>y_s5_c10</vt:lpstr>
      <vt:lpstr>y_s5_c11</vt:lpstr>
      <vt:lpstr>y_s5_c12</vt:lpstr>
      <vt:lpstr>y_s5_c2</vt:lpstr>
      <vt:lpstr>y_s5_c3</vt:lpstr>
      <vt:lpstr>y_s5_c4</vt:lpstr>
      <vt:lpstr>y_s5_c5</vt:lpstr>
      <vt:lpstr>y_s5_c6</vt:lpstr>
      <vt:lpstr>y_s5_c7</vt:lpstr>
      <vt:lpstr>y_s5_c8</vt:lpstr>
      <vt:lpstr>y_s5_c9</vt:lpstr>
      <vt:lpstr>y_s6_c1</vt:lpstr>
      <vt:lpstr>y_s6_c10</vt:lpstr>
      <vt:lpstr>y_s6_c11</vt:lpstr>
      <vt:lpstr>y_s6_c12</vt:lpstr>
      <vt:lpstr>y_s6_c2</vt:lpstr>
      <vt:lpstr>y_s6_c3</vt:lpstr>
      <vt:lpstr>y_s6_c4</vt:lpstr>
      <vt:lpstr>y_s6_c5</vt:lpstr>
      <vt:lpstr>y_s6_c6</vt:lpstr>
      <vt:lpstr>y_s6_c7</vt:lpstr>
      <vt:lpstr>y_s6_c8</vt:lpstr>
      <vt:lpstr>y_s6_c9</vt:lpstr>
      <vt:lpstr>y_s7_c1</vt:lpstr>
      <vt:lpstr>y_s7_c10</vt:lpstr>
      <vt:lpstr>y_s7_c11</vt:lpstr>
      <vt:lpstr>y_s7_c12</vt:lpstr>
      <vt:lpstr>y_s7_c2</vt:lpstr>
      <vt:lpstr>y_s7_c3</vt:lpstr>
      <vt:lpstr>y_s7_c4</vt:lpstr>
      <vt:lpstr>y_s7_c5</vt:lpstr>
      <vt:lpstr>y_s7_c6</vt:lpstr>
      <vt:lpstr>y_s7_c7</vt:lpstr>
      <vt:lpstr>y_s7_c8</vt:lpstr>
      <vt:lpstr>y_s7_c9</vt:lpstr>
      <vt:lpstr>y_s8_c1</vt:lpstr>
      <vt:lpstr>y_s8_c10</vt:lpstr>
      <vt:lpstr>y_s8_c11</vt:lpstr>
      <vt:lpstr>y_s8_c12</vt:lpstr>
      <vt:lpstr>y_s8_c2</vt:lpstr>
      <vt:lpstr>y_s8_c3</vt:lpstr>
      <vt:lpstr>y_s8_c4</vt:lpstr>
      <vt:lpstr>y_s8_c5</vt:lpstr>
      <vt:lpstr>y_s8_c6</vt:lpstr>
      <vt:lpstr>y_s8_c7</vt:lpstr>
      <vt:lpstr>y_s8_c8</vt:lpstr>
      <vt:lpstr>y_s8_c9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Giles Biddison</dc:creator>
  <cp:lastModifiedBy>Giles Biddison</cp:lastModifiedBy>
  <dcterms:created xsi:type="dcterms:W3CDTF">2011-10-25T16:15:56Z</dcterms:created>
  <dcterms:modified xsi:type="dcterms:W3CDTF">2011-10-26T20:40:03Z</dcterms:modified>
</cp:coreProperties>
</file>