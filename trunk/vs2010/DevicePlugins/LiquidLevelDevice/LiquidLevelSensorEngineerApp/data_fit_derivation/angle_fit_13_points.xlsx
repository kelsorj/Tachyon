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9.xml" ContentType="application/vnd.openxmlformats-officedocument.drawing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45" windowWidth="13860" windowHeight="13440" tabRatio="566" activeTab="9"/>
  </bookViews>
  <sheets>
    <sheet name="raw_data" sheetId="1" r:id="rId1"/>
    <sheet name="Sensor 1" sheetId="2" r:id="rId2"/>
    <sheet name="Sensor 2" sheetId="4" r:id="rId3"/>
    <sheet name="Sensor 3" sheetId="5" r:id="rId4"/>
    <sheet name="Sensor 4" sheetId="10" r:id="rId5"/>
    <sheet name="Sensor 5" sheetId="9" r:id="rId6"/>
    <sheet name="Sensor 6" sheetId="8" r:id="rId7"/>
    <sheet name="Sensor 7" sheetId="7" r:id="rId8"/>
    <sheet name="Sensor 8" sheetId="6" r:id="rId9"/>
    <sheet name="averaged line fit" sheetId="3" r:id="rId10"/>
  </sheets>
  <definedNames>
    <definedName name="_xlnm._FilterDatabase" localSheetId="0" hidden="1">raw_data!$A$1:$F$1</definedName>
    <definedName name="x_s1_c1">'Sensor 1'!$CF$5:$CF$16</definedName>
    <definedName name="x_s1_c10">'Sensor 1'!$AM$5:$AM$16</definedName>
    <definedName name="x_s1_c11">'Sensor 1'!$AH$5:$AH$16</definedName>
    <definedName name="x_s1_c12">'Sensor 1'!$AC$5:$AC$15</definedName>
    <definedName name="x_s1_c2">'Sensor 1'!$CA$5:$CA$16</definedName>
    <definedName name="x_s1_c3">'Sensor 1'!$BV$5:$BV$15</definedName>
    <definedName name="x_s1_c4">'Sensor 1'!$BQ$5:$BQ$15</definedName>
    <definedName name="x_s1_c5">'Sensor 1'!$BL$5:$BL$16</definedName>
    <definedName name="x_s1_c6">'Sensor 1'!$BG$5:$BG$16</definedName>
    <definedName name="x_s1_c7">'Sensor 1'!$BB$5:$BB$16</definedName>
    <definedName name="x_s1_c8">'Sensor 1'!$AW$5:$AW$16</definedName>
    <definedName name="x_s1_c9">'Sensor 1'!$AR$5:$AR$16</definedName>
    <definedName name="x_s2_c1">'Sensor 2'!$CF$5:$CF$12</definedName>
    <definedName name="x_s2_c10">'Sensor 2'!$AM$5:$AM$12</definedName>
    <definedName name="x_s2_c11">'Sensor 2'!$AH$5:$AH$12</definedName>
    <definedName name="x_s2_c12">'Sensor 2'!$AC$5:$AC$13</definedName>
    <definedName name="x_s2_c2">'Sensor 2'!$CA$5:$CA$12</definedName>
    <definedName name="x_s2_c3">'Sensor 2'!$BV$5:$BV$12</definedName>
    <definedName name="x_s2_c4">'Sensor 2'!$BQ$5:$BQ$12</definedName>
    <definedName name="x_s2_c5">'Sensor 2'!$BL$5:$BL$12</definedName>
    <definedName name="x_s2_c6">'Sensor 2'!$BG$5:$BG$12</definedName>
    <definedName name="x_s2_c7">'Sensor 2'!$BB$5:$BB$11</definedName>
    <definedName name="x_s2_c8">'Sensor 2'!$AW$5:$AW$11</definedName>
    <definedName name="x_s2_c9">'Sensor 2'!$AR$5:$AR$12</definedName>
    <definedName name="x_s3_c1">'Sensor 3'!$BS$5:$BS$11</definedName>
    <definedName name="x_s3_c10">'Sensor 3'!$AI$5:$AI$11</definedName>
    <definedName name="x_s3_c11">'Sensor 3'!$AE$5:$AE$11</definedName>
    <definedName name="x_s3_c12">'Sensor 3'!$AA$5:$AA$12</definedName>
    <definedName name="x_s3_c2">'Sensor 3'!$BO$5:$BO$11</definedName>
    <definedName name="x_s3_c3">'Sensor 3'!$BK$5:$BK$11</definedName>
    <definedName name="x_s3_c4">'Sensor 3'!$BG$5:$BG$10</definedName>
    <definedName name="x_s3_c5">'Sensor 3'!$BC$5:$BC$10</definedName>
    <definedName name="x_s3_c6">'Sensor 3'!$AY$5:$AY$11</definedName>
    <definedName name="x_s3_c7">'Sensor 3'!$AU$5:$AU$11</definedName>
    <definedName name="x_s3_c8">'Sensor 3'!$AQ$5:$AQ$11</definedName>
    <definedName name="x_s3_c9">'Sensor 3'!$AM$5:$AM$11</definedName>
    <definedName name="x_s4_c1">'Sensor 4'!$BS$5:$BS$12</definedName>
    <definedName name="x_s4_c10">'Sensor 4'!$AI$5:$AI$11</definedName>
    <definedName name="x_s4_c11">'Sensor 4'!$AE$5:$AE$12</definedName>
    <definedName name="x_s4_c12">'Sensor 4'!$AA$5:$AA$13</definedName>
    <definedName name="x_s4_c2">'Sensor 4'!$BO$5:$BO$12</definedName>
    <definedName name="x_s4_c3">'Sensor 4'!$BK$5:$BK$12</definedName>
    <definedName name="x_s4_c4">'Sensor 4'!$BG$5:$BG$12</definedName>
    <definedName name="x_s4_c5">'Sensor 4'!$BC$5:$BC$12</definedName>
    <definedName name="x_s4_c6">'Sensor 4'!$AY$5:$AY$12</definedName>
    <definedName name="x_s4_c7">'Sensor 4'!$AU$5:$AU$11</definedName>
    <definedName name="x_s4_c8">'Sensor 4'!$AQ$5:$AQ$11</definedName>
    <definedName name="x_s4_c9">'Sensor 4'!$AM$5:$AM$11</definedName>
    <definedName name="x_s5_c1">'Sensor 5'!$BS$5:$BS$11</definedName>
    <definedName name="x_s5_c10">'Sensor 5'!$AI$5:$AI$11</definedName>
    <definedName name="x_s5_c11">'Sensor 5'!$AE$5:$AE$11</definedName>
    <definedName name="x_s5_c12">'Sensor 5'!$AA$5:$AA$11</definedName>
    <definedName name="x_s5_c2">'Sensor 5'!$BO$5:$BO$11</definedName>
    <definedName name="x_s5_c3">'Sensor 5'!$BK$5:$BK$11</definedName>
    <definedName name="x_s5_c4">'Sensor 5'!$BG$5:$BG$11</definedName>
    <definedName name="x_s5_c5">'Sensor 5'!$BC$5:$BC$11</definedName>
    <definedName name="x_s5_c6">'Sensor 5'!$AY$5:$AY$11</definedName>
    <definedName name="x_s5_c7">'Sensor 5'!$AU$5:$AU$11</definedName>
    <definedName name="x_s5_c8">'Sensor 5'!$AQ$5:$AQ$11</definedName>
    <definedName name="x_s5_c9">'Sensor 5'!$AM$5:$AM$11</definedName>
    <definedName name="x_s6_c1">'Sensor 6'!$BS$5:$BS$11</definedName>
    <definedName name="x_s6_c10">'Sensor 6'!$AI$5:$AI$11</definedName>
    <definedName name="x_s6_c11">'Sensor 6'!$AE$5:$AE$11</definedName>
    <definedName name="x_s6_c12">'Sensor 6'!$AA$5:$AA$11</definedName>
    <definedName name="x_s6_c2">'Sensor 6'!$BO$5:$BO$11</definedName>
    <definedName name="x_s6_c3">'Sensor 6'!$BK$5:$BK$11</definedName>
    <definedName name="x_s6_c4">'Sensor 6'!$BG$5:$BG$11</definedName>
    <definedName name="x_s6_c5">'Sensor 6'!$BC$5:$BC$11</definedName>
    <definedName name="x_s6_c6">'Sensor 6'!$AY$5:$AY$12</definedName>
    <definedName name="x_s6_c7">'Sensor 6'!$AU$5:$AU$12</definedName>
    <definedName name="x_s6_c8">'Sensor 6'!$AQ$5:$AQ$12</definedName>
    <definedName name="x_s6_c9">'Sensor 6'!$AM$5:$AM$11</definedName>
    <definedName name="x_s7_c1">'Sensor 7'!$BS$5:$BS$14</definedName>
    <definedName name="x_s7_c10">'Sensor 7'!$AI$5:$AI$14</definedName>
    <definedName name="x_s7_c11">'Sensor 7'!$AE$5:$AE$14</definedName>
    <definedName name="x_s7_c12">'Sensor 7'!$AA$5:$AA$14</definedName>
    <definedName name="x_s7_c2">'Sensor 7'!$BO$5:$BO$14</definedName>
    <definedName name="x_s7_c3">'Sensor 7'!$BK$5:$BK$13</definedName>
    <definedName name="x_s7_c4">'Sensor 7'!$BG$5:$BG$13</definedName>
    <definedName name="x_s7_c5">'Sensor 7'!$BC$5:$BC$14</definedName>
    <definedName name="x_s7_c6">'Sensor 7'!$AY$5:$AY$14</definedName>
    <definedName name="x_s7_c7">'Sensor 7'!$AU$5:$AU$13</definedName>
    <definedName name="x_s7_c8">'Sensor 7'!$AQ$5:$AQ$13</definedName>
    <definedName name="x_s7_c9">'Sensor 7'!$AM$5:$AM$14</definedName>
    <definedName name="x_s8_c1">'Sensor 8'!$BS$5:$BS$13</definedName>
    <definedName name="x_s8_c10">'Sensor 8'!$AI$5:$AI$13</definedName>
    <definedName name="x_s8_c11">'Sensor 8'!$AE$5:$AE$14</definedName>
    <definedName name="x_s8_c12">'Sensor 8'!$AA$5:$AA$14</definedName>
    <definedName name="x_s8_c2">'Sensor 8'!$BO$5:$BO$13</definedName>
    <definedName name="x_s8_c3">'Sensor 8'!$BK$5:$BK$13</definedName>
    <definedName name="x_s8_c4">'Sensor 8'!$BG$5:$BG$13</definedName>
    <definedName name="x_s8_c5">'Sensor 8'!$BC$5:$BC$14</definedName>
    <definedName name="x_s8_c6">'Sensor 8'!$AY$5:$AY$14</definedName>
    <definedName name="x_s8_c7">'Sensor 8'!$AU$5:$AU$14</definedName>
    <definedName name="x_s8_c8">'Sensor 8'!$AQ$5:$AQ$15</definedName>
    <definedName name="x_s8_c9">'Sensor 8'!$AM$5:$AM$13</definedName>
    <definedName name="y_s1_c1">'Sensor 1'!$CG$5:$CG$16</definedName>
    <definedName name="y_s1_c10">'Sensor 1'!$AN$5:$AN$16</definedName>
    <definedName name="y_s1_c11">'Sensor 1'!$AI$5:$AI$16</definedName>
    <definedName name="y_s1_c12">'Sensor 1'!$AD$5:$AD$15</definedName>
    <definedName name="y_s1_c2">'Sensor 1'!$CB$5:$CB$16</definedName>
    <definedName name="y_s1_c3">'Sensor 1'!$BW$5:$BW$15</definedName>
    <definedName name="y_s1_c4">'Sensor 1'!$BR$5:$BR$15</definedName>
    <definedName name="y_s1_c5">'Sensor 1'!$BM$5:$BM$16</definedName>
    <definedName name="y_s1_c6">'Sensor 1'!$BH$5:$BH$16</definedName>
    <definedName name="y_s1_c7">'Sensor 1'!$BC$5:$BC$16</definedName>
    <definedName name="y_s1_c8">'Sensor 1'!$AX$5:$AX$16</definedName>
    <definedName name="y_s1_c9">'Sensor 1'!$AS$5:$AS$16</definedName>
    <definedName name="y_s2_c1">'Sensor 2'!$CG$5:$CG$12</definedName>
    <definedName name="y_s2_c10">'Sensor 2'!$AN$5:$AN$12</definedName>
    <definedName name="y_s2_c11">'Sensor 2'!$AI$5:$AI$12</definedName>
    <definedName name="y_s2_c12">'Sensor 2'!$AD$5:$AD$13</definedName>
    <definedName name="y_s2_c2">'Sensor 2'!$CB$5:$CB$12</definedName>
    <definedName name="y_s2_c3">'Sensor 2'!$BW$5:$BW$12</definedName>
    <definedName name="y_s2_c4">'Sensor 2'!$BR$5:$BR$12</definedName>
    <definedName name="y_s2_c5">'Sensor 2'!$BM$5:$BM$12</definedName>
    <definedName name="y_s2_c6">'Sensor 2'!$BH$5:$BH$12</definedName>
    <definedName name="y_s2_c7">'Sensor 2'!$BC$5:$BC$11</definedName>
    <definedName name="y_s2_c8">'Sensor 2'!$AX$5:$AX$11</definedName>
    <definedName name="y_s2_c9">'Sensor 2'!$AS$5:$AS$12</definedName>
    <definedName name="y_s3_c1">'Sensor 3'!$BT$5:$BT$11</definedName>
    <definedName name="y_s3_c10">'Sensor 3'!$AJ$5:$AJ$11</definedName>
    <definedName name="y_s3_c11">'Sensor 3'!$AF$5:$AF$11</definedName>
    <definedName name="y_s3_c12">'Sensor 3'!$AB$5:$AB$12</definedName>
    <definedName name="y_s3_c2">'Sensor 3'!$BP$5:$BP$11</definedName>
    <definedName name="y_s3_c3">'Sensor 3'!$BL$5:$BL$11</definedName>
    <definedName name="y_s3_c4">'Sensor 3'!$BH$5:$BH$10</definedName>
    <definedName name="y_s3_c5">'Sensor 3'!$BD$5:$BD$10</definedName>
    <definedName name="y_s3_c6">'Sensor 3'!$AZ$5:$AZ$11</definedName>
    <definedName name="y_s3_c7">'Sensor 3'!$AV$5:$AV$11</definedName>
    <definedName name="y_s3_c8">'Sensor 3'!$AR$5:$AR$11</definedName>
    <definedName name="y_s3_c9">'Sensor 3'!$AN$5:$AN$11</definedName>
    <definedName name="y_s4_c1">'Sensor 4'!$BT$5:$BT$12</definedName>
    <definedName name="y_s4_c10">'Sensor 4'!$AJ$5:$AJ$11</definedName>
    <definedName name="y_s4_c11">'Sensor 4'!$AF$5:$AF$12</definedName>
    <definedName name="y_s4_c12">'Sensor 4'!$AB$5:$AB$13</definedName>
    <definedName name="y_s4_c2">'Sensor 4'!$BP$5:$BP$12</definedName>
    <definedName name="y_s4_c3">'Sensor 4'!$BL$5:$BL$12</definedName>
    <definedName name="y_s4_c4">'Sensor 4'!$BH$5:$BH$12</definedName>
    <definedName name="y_s4_c5">'Sensor 4'!$BD$5:$BD$12</definedName>
    <definedName name="y_s4_c6">'Sensor 4'!$AZ$5:$AZ$12</definedName>
    <definedName name="y_s4_c7">'Sensor 4'!$AV$5:$AV$11</definedName>
    <definedName name="y_s4_c8">'Sensor 4'!$AR$5:$AR$11</definedName>
    <definedName name="y_s4_c9">'Sensor 4'!$AN$5:$AN$11</definedName>
    <definedName name="y_s5_c1">'Sensor 5'!$BT$5:$BT$11</definedName>
    <definedName name="y_s5_c10">'Sensor 5'!$AJ$5:$AJ$11</definedName>
    <definedName name="y_s5_c11">'Sensor 5'!$AF$5:$AF$11</definedName>
    <definedName name="y_s5_c12">'Sensor 5'!$AB$5:$AB$11</definedName>
    <definedName name="y_s5_c2">'Sensor 5'!$BP$5:$BP$11</definedName>
    <definedName name="y_s5_c3">'Sensor 5'!$BL$5:$BL$11</definedName>
    <definedName name="y_s5_c4">'Sensor 5'!$BH$5:$BH$11</definedName>
    <definedName name="y_s5_c5">'Sensor 5'!$BD$5:$BD$11</definedName>
    <definedName name="y_s5_c6">'Sensor 5'!$AZ$5:$AZ$11</definedName>
    <definedName name="y_s5_c7">'Sensor 5'!$AV$5:$AV$11</definedName>
    <definedName name="y_s5_c8">'Sensor 5'!$AR$5:$AR$11</definedName>
    <definedName name="y_s5_c9">'Sensor 5'!$AN$5:$AN$11</definedName>
    <definedName name="y_s6_c1">'Sensor 6'!$BT$5:$BT$11</definedName>
    <definedName name="y_s6_c10">'Sensor 6'!$AJ$5:$AJ$11</definedName>
    <definedName name="y_s6_c11">'Sensor 6'!$AF$5:$AF$11</definedName>
    <definedName name="y_s6_c12">'Sensor 6'!$AB$5:$AB$11</definedName>
    <definedName name="y_s6_c2">'Sensor 6'!$BP$5:$BP$11</definedName>
    <definedName name="y_s6_c3">'Sensor 6'!$BL$5:$BL$11</definedName>
    <definedName name="y_s6_c4">'Sensor 6'!$BH$5:$BH$11</definedName>
    <definedName name="y_s6_c5">'Sensor 6'!$BD$5:$BD$11</definedName>
    <definedName name="y_s6_c6">'Sensor 6'!$AZ$5:$AZ$12</definedName>
    <definedName name="y_s6_c7">'Sensor 6'!$AV$5:$AV$12</definedName>
    <definedName name="y_s6_c8">'Sensor 6'!$AR$5:$AR$12</definedName>
    <definedName name="y_s6_c9">'Sensor 6'!$AN$5:$AN$11</definedName>
    <definedName name="y_s7_c1">'Sensor 7'!$BT$5:$BT$14</definedName>
    <definedName name="y_s7_c10">'Sensor 7'!$AJ$5:$AJ$14</definedName>
    <definedName name="y_s7_c11">'Sensor 7'!$AF$5:$AF$14</definedName>
    <definedName name="y_s7_c12">'Sensor 7'!$AB$5:$AB$14</definedName>
    <definedName name="y_s7_c2">'Sensor 7'!$BP$5:$BP$14</definedName>
    <definedName name="y_s7_c3">'Sensor 7'!$BL$5:$BL$13</definedName>
    <definedName name="y_s7_c4">'Sensor 7'!$BH$5:$BH$13</definedName>
    <definedName name="y_s7_c5">'Sensor 7'!$BD$5:$BD$14</definedName>
    <definedName name="y_s7_c6">'Sensor 7'!$AZ$5:$AZ$14</definedName>
    <definedName name="y_s7_c7">'Sensor 7'!$AV$5:$AV$13</definedName>
    <definedName name="y_s7_c8">'Sensor 7'!$AR$5:$AR$13</definedName>
    <definedName name="y_s7_c9">'Sensor 7'!$AN$5:$AN$14</definedName>
    <definedName name="y_s8_c1">'Sensor 8'!$BT$5:$BT$13</definedName>
    <definedName name="y_s8_c10">'Sensor 8'!$AJ$5:$AJ$13</definedName>
    <definedName name="y_s8_c11">'Sensor 8'!$AF$5:$AF$14</definedName>
    <definedName name="y_s8_c12">'Sensor 8'!$AB$5:$AB$14</definedName>
    <definedName name="y_s8_c2">'Sensor 8'!$BP$5:$BP$13</definedName>
    <definedName name="y_s8_c3">'Sensor 8'!$BL$5:$BL$13</definedName>
    <definedName name="y_s8_c4">'Sensor 8'!$BH$5:$BH$13</definedName>
    <definedName name="y_s8_c5">'Sensor 8'!$BD$5:$BD$14</definedName>
    <definedName name="y_s8_c6">'Sensor 8'!$AZ$5:$AZ$14</definedName>
    <definedName name="y_s8_c7">'Sensor 8'!$AV$5:$AV$14</definedName>
    <definedName name="y_s8_c8">'Sensor 8'!$AR$5:$AR$15</definedName>
    <definedName name="y_s8_c9">'Sensor 8'!$AN$5:$AN$13</definedName>
  </definedNames>
  <calcPr calcId="145621"/>
</workbook>
</file>

<file path=xl/calcChain.xml><?xml version="1.0" encoding="utf-8"?>
<calcChain xmlns="http://schemas.openxmlformats.org/spreadsheetml/2006/main">
  <c r="J14" i="3" l="1"/>
  <c r="J13" i="3"/>
  <c r="J12" i="3"/>
  <c r="J11" i="3"/>
  <c r="J10" i="3"/>
  <c r="J9" i="3"/>
  <c r="J8" i="3"/>
  <c r="J7" i="3"/>
  <c r="K18" i="3" s="1"/>
  <c r="J6" i="3"/>
  <c r="J5" i="3"/>
  <c r="J4" i="3"/>
  <c r="J3" i="3"/>
  <c r="K17" i="3" l="1"/>
  <c r="C17" i="3"/>
  <c r="B16" i="3"/>
  <c r="F17" i="3"/>
  <c r="C18" i="3"/>
  <c r="V17" i="6"/>
  <c r="S18" i="6"/>
  <c r="S17" i="6"/>
  <c r="V17" i="7"/>
  <c r="S18" i="7"/>
  <c r="S17" i="7"/>
  <c r="V17" i="8"/>
  <c r="S18" i="8"/>
  <c r="S17" i="8"/>
  <c r="V17" i="9"/>
  <c r="S18" i="9"/>
  <c r="R3" i="9"/>
  <c r="S17" i="9"/>
  <c r="S17" i="10"/>
  <c r="S18" i="10"/>
  <c r="V17" i="10"/>
  <c r="V17" i="5"/>
  <c r="S18" i="5"/>
  <c r="S17" i="5"/>
  <c r="V17" i="4"/>
  <c r="S18" i="4"/>
  <c r="S17" i="4"/>
  <c r="V17" i="2"/>
  <c r="S18" i="2"/>
  <c r="S17" i="2"/>
  <c r="N12" i="3" l="1"/>
  <c r="Q12" i="3" s="1"/>
  <c r="N10" i="3"/>
  <c r="Q10" i="3" s="1"/>
  <c r="N13" i="3"/>
  <c r="Q13" i="3" s="1"/>
  <c r="N3" i="3"/>
  <c r="Q3" i="3" s="1"/>
  <c r="N14" i="3"/>
  <c r="Q14" i="3" s="1"/>
  <c r="N11" i="3"/>
  <c r="Q11" i="3" s="1"/>
  <c r="N7" i="3"/>
  <c r="Q7" i="3" s="1"/>
  <c r="N4" i="3"/>
  <c r="Q4" i="3" s="1"/>
  <c r="N8" i="3"/>
  <c r="Q8" i="3" s="1"/>
  <c r="N5" i="3"/>
  <c r="Q5" i="3" s="1"/>
  <c r="N6" i="3"/>
  <c r="Q6" i="3" s="1"/>
  <c r="N9" i="3"/>
  <c r="Q9" i="3" s="1"/>
  <c r="O37" i="9"/>
  <c r="N37" i="9"/>
  <c r="B24" i="10"/>
  <c r="O37" i="6" l="1"/>
  <c r="N37" i="6"/>
  <c r="O24" i="6"/>
  <c r="N24" i="6"/>
  <c r="O11" i="6"/>
  <c r="N11" i="6"/>
  <c r="K37" i="6"/>
  <c r="J37" i="6"/>
  <c r="K24" i="6"/>
  <c r="J24" i="6"/>
  <c r="K11" i="6"/>
  <c r="J11" i="6"/>
  <c r="G37" i="6"/>
  <c r="F37" i="6"/>
  <c r="G24" i="6"/>
  <c r="F24" i="6"/>
  <c r="G11" i="6"/>
  <c r="F11" i="6"/>
  <c r="C37" i="6"/>
  <c r="B37" i="6"/>
  <c r="C24" i="6"/>
  <c r="B24" i="6"/>
  <c r="C11" i="6"/>
  <c r="B11" i="6"/>
  <c r="O37" i="7"/>
  <c r="N37" i="7"/>
  <c r="O24" i="7"/>
  <c r="N24" i="7"/>
  <c r="O11" i="7"/>
  <c r="N11" i="7"/>
  <c r="K37" i="7"/>
  <c r="J37" i="7"/>
  <c r="K24" i="7"/>
  <c r="J24" i="7"/>
  <c r="G37" i="7"/>
  <c r="K11" i="7"/>
  <c r="J11" i="7"/>
  <c r="F37" i="7"/>
  <c r="G24" i="7"/>
  <c r="F24" i="7"/>
  <c r="G11" i="7"/>
  <c r="F11" i="7"/>
  <c r="C37" i="7"/>
  <c r="B37" i="7"/>
  <c r="C24" i="7"/>
  <c r="B24" i="7"/>
  <c r="C11" i="7"/>
  <c r="B11" i="7"/>
  <c r="O37" i="8"/>
  <c r="N37" i="8"/>
  <c r="O24" i="8"/>
  <c r="N24" i="8"/>
  <c r="O11" i="8"/>
  <c r="N11" i="8"/>
  <c r="K37" i="8"/>
  <c r="J37" i="8"/>
  <c r="K24" i="8"/>
  <c r="J24" i="8"/>
  <c r="K11" i="8"/>
  <c r="J11" i="8"/>
  <c r="G37" i="8"/>
  <c r="F37" i="8"/>
  <c r="G24" i="8"/>
  <c r="F24" i="8"/>
  <c r="G11" i="8"/>
  <c r="F11" i="8"/>
  <c r="C37" i="8"/>
  <c r="B37" i="8"/>
  <c r="C24" i="8"/>
  <c r="B24" i="8"/>
  <c r="C11" i="8"/>
  <c r="B11" i="8"/>
  <c r="G11" i="9"/>
  <c r="K37" i="9"/>
  <c r="J37" i="9"/>
  <c r="G37" i="9"/>
  <c r="F37" i="9"/>
  <c r="C37" i="9"/>
  <c r="B37" i="9"/>
  <c r="O24" i="9"/>
  <c r="N24" i="9"/>
  <c r="K24" i="9"/>
  <c r="J24" i="9"/>
  <c r="G24" i="9"/>
  <c r="C24" i="9"/>
  <c r="F24" i="9"/>
  <c r="B24" i="9"/>
  <c r="O11" i="9"/>
  <c r="N11" i="9"/>
  <c r="K11" i="9"/>
  <c r="J11" i="9"/>
  <c r="F11" i="9"/>
  <c r="C11" i="9"/>
  <c r="B11" i="9"/>
  <c r="O37" i="10"/>
  <c r="N37" i="10"/>
  <c r="O24" i="10"/>
  <c r="N24" i="10"/>
  <c r="O11" i="10"/>
  <c r="N11" i="10"/>
  <c r="K37" i="10"/>
  <c r="J37" i="10"/>
  <c r="K24" i="10"/>
  <c r="J24" i="10"/>
  <c r="K11" i="10"/>
  <c r="J11" i="10"/>
  <c r="G37" i="10"/>
  <c r="F37" i="10"/>
  <c r="G24" i="10"/>
  <c r="F24" i="10"/>
  <c r="G11" i="10"/>
  <c r="F11" i="10"/>
  <c r="C37" i="10"/>
  <c r="B37" i="10"/>
  <c r="C24" i="10"/>
  <c r="C11" i="10"/>
  <c r="B11" i="10"/>
  <c r="O37" i="5"/>
  <c r="N37" i="5"/>
  <c r="O24" i="5"/>
  <c r="N24" i="5"/>
  <c r="O11" i="5"/>
  <c r="N11" i="5"/>
  <c r="K37" i="5"/>
  <c r="J37" i="5"/>
  <c r="K24" i="5"/>
  <c r="J24" i="5"/>
  <c r="K11" i="5"/>
  <c r="J11" i="5"/>
  <c r="G37" i="5"/>
  <c r="F37" i="5"/>
  <c r="G24" i="5"/>
  <c r="F24" i="5"/>
  <c r="G11" i="5"/>
  <c r="F11" i="5"/>
  <c r="C37" i="5"/>
  <c r="B37" i="5"/>
  <c r="C24" i="5"/>
  <c r="B24" i="5"/>
  <c r="C11" i="5"/>
  <c r="B11" i="5"/>
  <c r="O37" i="4"/>
  <c r="N37" i="4"/>
  <c r="K37" i="4"/>
  <c r="J37" i="4"/>
  <c r="G37" i="4"/>
  <c r="F37" i="4"/>
  <c r="C37" i="4"/>
  <c r="B37" i="4"/>
  <c r="O24" i="4"/>
  <c r="N24" i="4"/>
  <c r="K24" i="4"/>
  <c r="J24" i="4"/>
  <c r="G24" i="4"/>
  <c r="F24" i="4"/>
  <c r="C24" i="4"/>
  <c r="B24" i="4"/>
  <c r="O11" i="4"/>
  <c r="K11" i="4"/>
  <c r="G11" i="4"/>
  <c r="C11" i="4"/>
  <c r="J11" i="4"/>
  <c r="F11" i="4"/>
  <c r="B11" i="4"/>
  <c r="N11" i="4"/>
  <c r="O37" i="2"/>
  <c r="N37" i="2"/>
  <c r="O24" i="2"/>
  <c r="N24" i="2"/>
  <c r="O11" i="2"/>
  <c r="N11" i="2"/>
  <c r="K37" i="2"/>
  <c r="J37" i="2"/>
  <c r="K24" i="2"/>
  <c r="J24" i="2"/>
  <c r="K11" i="2"/>
  <c r="J11" i="2"/>
  <c r="G37" i="2"/>
  <c r="F37" i="2"/>
  <c r="G24" i="2"/>
  <c r="F24" i="2"/>
  <c r="G11" i="2"/>
  <c r="F11" i="2"/>
  <c r="C37" i="2"/>
  <c r="B37" i="2"/>
  <c r="C24" i="2"/>
  <c r="B24" i="2"/>
  <c r="C11" i="2"/>
  <c r="B11" i="2"/>
  <c r="N12" i="6" l="1"/>
  <c r="R12" i="6" s="1"/>
  <c r="J25" i="6"/>
  <c r="R10" i="6" s="1"/>
  <c r="N12" i="7"/>
  <c r="R12" i="7" s="1"/>
  <c r="N38" i="8"/>
  <c r="R14" i="8" s="1"/>
  <c r="J12" i="8"/>
  <c r="R9" i="8" s="1"/>
  <c r="B25" i="8"/>
  <c r="R4" i="8" s="1"/>
  <c r="B38" i="9"/>
  <c r="R5" i="9" s="1"/>
  <c r="F25" i="9"/>
  <c r="R7" i="9" s="1"/>
  <c r="B25" i="9"/>
  <c r="R4" i="9" s="1"/>
  <c r="N12" i="9"/>
  <c r="R12" i="9" s="1"/>
  <c r="J12" i="9"/>
  <c r="R9" i="9" s="1"/>
  <c r="N38" i="10"/>
  <c r="R14" i="10" s="1"/>
  <c r="N25" i="10"/>
  <c r="R13" i="10" s="1"/>
  <c r="N12" i="10"/>
  <c r="R12" i="10" s="1"/>
  <c r="J38" i="10"/>
  <c r="R11" i="10" s="1"/>
  <c r="J25" i="10"/>
  <c r="R10" i="10" s="1"/>
  <c r="J12" i="10"/>
  <c r="R9" i="10" s="1"/>
  <c r="F38" i="10"/>
  <c r="R8" i="10" s="1"/>
  <c r="F25" i="10"/>
  <c r="R7" i="10" s="1"/>
  <c r="F12" i="10"/>
  <c r="R6" i="10" s="1"/>
  <c r="B38" i="10"/>
  <c r="R5" i="10" s="1"/>
  <c r="B25" i="10"/>
  <c r="R4" i="10" s="1"/>
  <c r="B12" i="10"/>
  <c r="R3" i="10" s="1"/>
  <c r="J38" i="9"/>
  <c r="R11" i="9" s="1"/>
  <c r="B12" i="9"/>
  <c r="F38" i="8"/>
  <c r="R8" i="8" s="1"/>
  <c r="B25" i="7"/>
  <c r="R4" i="7" s="1"/>
  <c r="B38" i="7"/>
  <c r="R5" i="7" s="1"/>
  <c r="J25" i="9"/>
  <c r="R10" i="9" s="1"/>
  <c r="F38" i="9"/>
  <c r="R8" i="9" s="1"/>
  <c r="N38" i="9"/>
  <c r="R14" i="9" s="1"/>
  <c r="F12" i="9"/>
  <c r="R6" i="9" s="1"/>
  <c r="N25" i="6"/>
  <c r="R13" i="6" s="1"/>
  <c r="N25" i="9"/>
  <c r="R13" i="9" s="1"/>
  <c r="N25" i="8"/>
  <c r="R13" i="8" s="1"/>
  <c r="J38" i="8"/>
  <c r="R11" i="8" s="1"/>
  <c r="B12" i="7"/>
  <c r="R3" i="7" s="1"/>
  <c r="B12" i="8"/>
  <c r="R3" i="8" s="1"/>
  <c r="N25" i="7"/>
  <c r="R13" i="7" s="1"/>
  <c r="F25" i="7"/>
  <c r="R7" i="7" s="1"/>
  <c r="F38" i="7"/>
  <c r="R8" i="7" s="1"/>
  <c r="F12" i="8"/>
  <c r="R6" i="8" s="1"/>
  <c r="B38" i="8"/>
  <c r="R5" i="8" s="1"/>
  <c r="J25" i="8"/>
  <c r="R10" i="8" s="1"/>
  <c r="N12" i="8"/>
  <c r="R12" i="8" s="1"/>
  <c r="J12" i="7"/>
  <c r="R9" i="7" s="1"/>
  <c r="F25" i="8"/>
  <c r="R7" i="8" s="1"/>
  <c r="B25" i="5"/>
  <c r="R4" i="5" s="1"/>
  <c r="B12" i="6"/>
  <c r="R3" i="6" s="1"/>
  <c r="J25" i="7"/>
  <c r="R10" i="7" s="1"/>
  <c r="J38" i="7"/>
  <c r="R11" i="7" s="1"/>
  <c r="F25" i="6"/>
  <c r="R7" i="6" s="1"/>
  <c r="N25" i="2"/>
  <c r="R13" i="2" s="1"/>
  <c r="J12" i="5"/>
  <c r="R9" i="5" s="1"/>
  <c r="J12" i="6"/>
  <c r="R9" i="6" s="1"/>
  <c r="F38" i="6"/>
  <c r="R8" i="6" s="1"/>
  <c r="F12" i="7"/>
  <c r="R6" i="7" s="1"/>
  <c r="N38" i="7"/>
  <c r="R14" i="7" s="1"/>
  <c r="F25" i="5"/>
  <c r="R7" i="5" s="1"/>
  <c r="F38" i="5"/>
  <c r="R8" i="5" s="1"/>
  <c r="F12" i="6"/>
  <c r="R6" i="6" s="1"/>
  <c r="B25" i="6"/>
  <c r="R4" i="6" s="1"/>
  <c r="J38" i="6"/>
  <c r="R11" i="6" s="1"/>
  <c r="N12" i="2"/>
  <c r="R12" i="2" s="1"/>
  <c r="N38" i="6"/>
  <c r="R14" i="6" s="1"/>
  <c r="N12" i="4"/>
  <c r="R12" i="4" s="1"/>
  <c r="N25" i="4"/>
  <c r="R13" i="4" s="1"/>
  <c r="N25" i="5"/>
  <c r="R13" i="5" s="1"/>
  <c r="B38" i="6"/>
  <c r="R5" i="6" s="1"/>
  <c r="J25" i="5"/>
  <c r="R10" i="5" s="1"/>
  <c r="B12" i="5"/>
  <c r="R3" i="5" s="1"/>
  <c r="N38" i="5"/>
  <c r="R14" i="5" s="1"/>
  <c r="N38" i="4"/>
  <c r="R14" i="4" s="1"/>
  <c r="F12" i="5"/>
  <c r="R6" i="5" s="1"/>
  <c r="B38" i="5"/>
  <c r="R5" i="5" s="1"/>
  <c r="N38" i="2"/>
  <c r="R14" i="2" s="1"/>
  <c r="J38" i="5"/>
  <c r="R11" i="5" s="1"/>
  <c r="N12" i="5"/>
  <c r="R12" i="5" s="1"/>
  <c r="J38" i="4"/>
  <c r="R11" i="4" s="1"/>
  <c r="F38" i="4"/>
  <c r="R8" i="4" s="1"/>
  <c r="B38" i="4"/>
  <c r="R5" i="4" s="1"/>
  <c r="J25" i="4"/>
  <c r="R10" i="4" s="1"/>
  <c r="F25" i="4"/>
  <c r="R7" i="4" s="1"/>
  <c r="B25" i="4"/>
  <c r="R4" i="4" s="1"/>
  <c r="F12" i="4"/>
  <c r="R6" i="4" s="1"/>
  <c r="J12" i="4"/>
  <c r="R9" i="4" s="1"/>
  <c r="B12" i="4"/>
  <c r="R3" i="4" s="1"/>
  <c r="J38" i="2"/>
  <c r="R11" i="2" s="1"/>
  <c r="J25" i="2"/>
  <c r="R10" i="2" s="1"/>
  <c r="J12" i="2"/>
  <c r="R9" i="2" s="1"/>
  <c r="F38" i="2"/>
  <c r="R8" i="2" s="1"/>
  <c r="F25" i="2"/>
  <c r="R7" i="2" s="1"/>
  <c r="F12" i="2"/>
  <c r="R6" i="2" s="1"/>
  <c r="B38" i="2"/>
  <c r="R5" i="2" s="1"/>
  <c r="B12" i="2"/>
  <c r="R3" i="2" s="1"/>
  <c r="B25" i="2"/>
  <c r="R4" i="2" s="1"/>
  <c r="B4" i="3" l="1"/>
  <c r="B11" i="3"/>
  <c r="B12" i="3"/>
  <c r="B5" i="3"/>
  <c r="B6" i="3"/>
  <c r="B14" i="3"/>
  <c r="B8" i="3"/>
  <c r="B7" i="3"/>
  <c r="B9" i="3"/>
  <c r="B13" i="3"/>
  <c r="B10" i="3"/>
  <c r="B3" i="3"/>
  <c r="F20" i="3" l="1"/>
</calcChain>
</file>

<file path=xl/sharedStrings.xml><?xml version="1.0" encoding="utf-8"?>
<sst xmlns="http://schemas.openxmlformats.org/spreadsheetml/2006/main" count="2109" uniqueCount="20">
  <si>
    <t>X Maxima</t>
  </si>
  <si>
    <t xml:space="preserve">X Maxima </t>
  </si>
  <si>
    <t>X</t>
  </si>
  <si>
    <t>Y</t>
  </si>
  <si>
    <t>slope</t>
  </si>
  <si>
    <t>intercept</t>
  </si>
  <si>
    <t>degrees</t>
  </si>
  <si>
    <t>X Avg</t>
  </si>
  <si>
    <t>vs avg (90-atan)</t>
  </si>
  <si>
    <t>Sensor</t>
  </si>
  <si>
    <t>Column</t>
  </si>
  <si>
    <t>Z</t>
  </si>
  <si>
    <t>&gt;=6.5</t>
  </si>
  <si>
    <t xml:space="preserve">10/26/2011 9:56:54 AM : INFO : </t>
  </si>
  <si>
    <t>Timestamp</t>
  </si>
  <si>
    <t>Zero corrected</t>
  </si>
  <si>
    <t>atan</t>
  </si>
  <si>
    <t>avg x</t>
  </si>
  <si>
    <t>"Correction"</t>
  </si>
  <si>
    <t>"Error"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</si>
</sst>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[0]!x_s1_c12</c:f>
              <c:numCache>
                <c:formatCode>General</c:formatCode>
                <c:ptCount val="11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</c:numCache>
            </c:numRef>
          </c:xVal>
          <c:yVal>
            <c:numRef>
              <c:f>[0]!y_s1_c12</c:f>
              <c:numCache>
                <c:formatCode>General</c:formatCode>
                <c:ptCount val="11"/>
                <c:pt idx="0">
                  <c:v>8.5266022436965496</c:v>
                </c:pt>
                <c:pt idx="1">
                  <c:v>9.3989781184049797</c:v>
                </c:pt>
                <c:pt idx="2">
                  <c:v>9.9048095079418008</c:v>
                </c:pt>
                <c:pt idx="3">
                  <c:v>10.271353993113401</c:v>
                </c:pt>
                <c:pt idx="4">
                  <c:v>10.5425969121404</c:v>
                </c:pt>
                <c:pt idx="5">
                  <c:v>10.579251360657601</c:v>
                </c:pt>
                <c:pt idx="6">
                  <c:v>10.579251360657601</c:v>
                </c:pt>
                <c:pt idx="7">
                  <c:v>10.513273353326699</c:v>
                </c:pt>
                <c:pt idx="8">
                  <c:v>10.410640897478601</c:v>
                </c:pt>
                <c:pt idx="9">
                  <c:v>10.0734199711207</c:v>
                </c:pt>
                <c:pt idx="10">
                  <c:v>8.6585582583583296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77696"/>
        <c:axId val="86879232"/>
      </c:scatterChart>
      <c:valAx>
        <c:axId val="8687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79232"/>
        <c:crosses val="autoZero"/>
        <c:crossBetween val="midCat"/>
      </c:valAx>
      <c:valAx>
        <c:axId val="868792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68776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[0]!x_s1_c11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[0]!y_s1_c11</c:f>
              <c:numCache>
                <c:formatCode>General</c:formatCode>
                <c:ptCount val="12"/>
                <c:pt idx="0">
                  <c:v>8.0207708541597196</c:v>
                </c:pt>
                <c:pt idx="1">
                  <c:v>8.9957791847162092</c:v>
                </c:pt>
                <c:pt idx="2">
                  <c:v>9.7361990447628592</c:v>
                </c:pt>
                <c:pt idx="3">
                  <c:v>10.205375985782499</c:v>
                </c:pt>
                <c:pt idx="4">
                  <c:v>10.513273353326699</c:v>
                </c:pt>
                <c:pt idx="5">
                  <c:v>10.513273353326699</c:v>
                </c:pt>
                <c:pt idx="6">
                  <c:v>10.6085749194713</c:v>
                </c:pt>
                <c:pt idx="7">
                  <c:v>10.6085749194713</c:v>
                </c:pt>
                <c:pt idx="8">
                  <c:v>10.4766189048095</c:v>
                </c:pt>
                <c:pt idx="9">
                  <c:v>10.2420304342997</c:v>
                </c:pt>
                <c:pt idx="10">
                  <c:v>9.3989781184049797</c:v>
                </c:pt>
                <c:pt idx="11">
                  <c:v>7.3756525602576897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47040"/>
        <c:axId val="87448576"/>
      </c:scatterChart>
      <c:valAx>
        <c:axId val="8744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448576"/>
        <c:crosses val="autoZero"/>
        <c:crossBetween val="midCat"/>
      </c:valAx>
      <c:valAx>
        <c:axId val="874485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7447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[0]!x_s1_c10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[0]!y_s1_c10</c:f>
              <c:numCache>
                <c:formatCode>General</c:formatCode>
                <c:ptCount val="12"/>
                <c:pt idx="0">
                  <c:v>7.8814839497945099</c:v>
                </c:pt>
                <c:pt idx="1">
                  <c:v>8.9957791847162092</c:v>
                </c:pt>
                <c:pt idx="2">
                  <c:v>9.6995445962456994</c:v>
                </c:pt>
                <c:pt idx="3">
                  <c:v>10.1760524269688</c:v>
                </c:pt>
                <c:pt idx="4">
                  <c:v>10.410640897478601</c:v>
                </c:pt>
                <c:pt idx="5">
                  <c:v>10.5425969121404</c:v>
                </c:pt>
                <c:pt idx="6">
                  <c:v>10.579251360657601</c:v>
                </c:pt>
                <c:pt idx="7">
                  <c:v>10.579251360657601</c:v>
                </c:pt>
                <c:pt idx="8">
                  <c:v>10.513273353326699</c:v>
                </c:pt>
                <c:pt idx="9">
                  <c:v>10.2420304342997</c:v>
                </c:pt>
                <c:pt idx="10">
                  <c:v>9.5309341330667507</c:v>
                </c:pt>
                <c:pt idx="11">
                  <c:v>7.4123070087748504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9040"/>
        <c:axId val="87480576"/>
      </c:scatterChart>
      <c:valAx>
        <c:axId val="8747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480576"/>
        <c:crosses val="autoZero"/>
        <c:crossBetween val="midCat"/>
      </c:valAx>
      <c:valAx>
        <c:axId val="874805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7479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[0]!x_s1_c9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[0]!y_s1_c9</c:f>
              <c:numCache>
                <c:formatCode>General</c:formatCode>
                <c:ptCount val="12"/>
                <c:pt idx="0">
                  <c:v>7.68354992780184</c:v>
                </c:pt>
                <c:pt idx="1">
                  <c:v>8.8931467288681496</c:v>
                </c:pt>
                <c:pt idx="2">
                  <c:v>9.5675885815839194</c:v>
                </c:pt>
                <c:pt idx="3">
                  <c:v>10.0734199711207</c:v>
                </c:pt>
                <c:pt idx="4">
                  <c:v>10.373986448961499</c:v>
                </c:pt>
                <c:pt idx="5">
                  <c:v>10.5425969121404</c:v>
                </c:pt>
                <c:pt idx="6">
                  <c:v>10.579251360657601</c:v>
                </c:pt>
                <c:pt idx="7">
                  <c:v>10.579251360657601</c:v>
                </c:pt>
                <c:pt idx="8">
                  <c:v>10.4766189048095</c:v>
                </c:pt>
                <c:pt idx="9">
                  <c:v>10.271353993113401</c:v>
                </c:pt>
                <c:pt idx="10">
                  <c:v>9.6702210374319701</c:v>
                </c:pt>
                <c:pt idx="11">
                  <c:v>7.81550594246362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4560"/>
        <c:axId val="90996096"/>
      </c:scatterChart>
      <c:valAx>
        <c:axId val="9099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996096"/>
        <c:crosses val="autoZero"/>
        <c:crossBetween val="midCat"/>
      </c:valAx>
      <c:valAx>
        <c:axId val="90996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09945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[0]!x_s1_c8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[0]!y_s1_c8</c:f>
              <c:numCache>
                <c:formatCode>General</c:formatCode>
                <c:ptCount val="12"/>
                <c:pt idx="0">
                  <c:v>7.4416305675885797</c:v>
                </c:pt>
                <c:pt idx="1">
                  <c:v>8.7611907142063803</c:v>
                </c:pt>
                <c:pt idx="2">
                  <c:v>9.4356325669221395</c:v>
                </c:pt>
                <c:pt idx="3">
                  <c:v>9.9414639564589606</c:v>
                </c:pt>
                <c:pt idx="4">
                  <c:v>10.3080084416306</c:v>
                </c:pt>
                <c:pt idx="5">
                  <c:v>10.4766189048095</c:v>
                </c:pt>
                <c:pt idx="6">
                  <c:v>10.5425969121404</c:v>
                </c:pt>
                <c:pt idx="7">
                  <c:v>10.513273353326699</c:v>
                </c:pt>
                <c:pt idx="8">
                  <c:v>10.410640897478601</c:v>
                </c:pt>
                <c:pt idx="9">
                  <c:v>10.205375985782499</c:v>
                </c:pt>
                <c:pt idx="10">
                  <c:v>9.2670221037431997</c:v>
                </c:pt>
                <c:pt idx="11">
                  <c:v>7.5442630234366304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39616"/>
        <c:axId val="91041152"/>
      </c:scatterChart>
      <c:valAx>
        <c:axId val="910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041152"/>
        <c:crosses val="autoZero"/>
        <c:crossBetween val="midCat"/>
      </c:valAx>
      <c:valAx>
        <c:axId val="91041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10396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[0]!x_s1_c7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[0]!y_s1_c7</c:f>
              <c:numCache>
                <c:formatCode>General</c:formatCode>
                <c:ptCount val="12"/>
                <c:pt idx="0">
                  <c:v>7.5149394646229002</c:v>
                </c:pt>
                <c:pt idx="1">
                  <c:v>8.9298011773853201</c:v>
                </c:pt>
                <c:pt idx="2">
                  <c:v>9.6042430301010793</c:v>
                </c:pt>
                <c:pt idx="3">
                  <c:v>10.0367655226036</c:v>
                </c:pt>
                <c:pt idx="4">
                  <c:v>10.373986448961499</c:v>
                </c:pt>
                <c:pt idx="5">
                  <c:v>10.5425969121404</c:v>
                </c:pt>
                <c:pt idx="6">
                  <c:v>10.6085749194713</c:v>
                </c:pt>
                <c:pt idx="7">
                  <c:v>10.579251360657601</c:v>
                </c:pt>
                <c:pt idx="8">
                  <c:v>10.4399644562923</c:v>
                </c:pt>
                <c:pt idx="9">
                  <c:v>10.3080084416306</c:v>
                </c:pt>
                <c:pt idx="10">
                  <c:v>9.3623236698878092</c:v>
                </c:pt>
                <c:pt idx="11">
                  <c:v>7.6468954792846802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76096"/>
        <c:axId val="91077632"/>
      </c:scatterChart>
      <c:valAx>
        <c:axId val="9107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077632"/>
        <c:crosses val="autoZero"/>
        <c:crossBetween val="midCat"/>
      </c:valAx>
      <c:valAx>
        <c:axId val="910776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10760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[0]!x_s1_c6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[0]!y_s1_c6</c:f>
              <c:numCache>
                <c:formatCode>General</c:formatCode>
                <c:ptCount val="12"/>
                <c:pt idx="0">
                  <c:v>7.4782850161057404</c:v>
                </c:pt>
                <c:pt idx="1">
                  <c:v>9.0251027435299296</c:v>
                </c:pt>
                <c:pt idx="2">
                  <c:v>9.7361990447628592</c:v>
                </c:pt>
                <c:pt idx="3">
                  <c:v>10.1393979784516</c:v>
                </c:pt>
                <c:pt idx="4">
                  <c:v>10.4399644562923</c:v>
                </c:pt>
                <c:pt idx="5">
                  <c:v>10.645229367988399</c:v>
                </c:pt>
                <c:pt idx="6">
                  <c:v>10.711207375319299</c:v>
                </c:pt>
                <c:pt idx="7">
                  <c:v>10.645229367988399</c:v>
                </c:pt>
                <c:pt idx="8">
                  <c:v>10.5425969121404</c:v>
                </c:pt>
                <c:pt idx="9">
                  <c:v>10.373986448961499</c:v>
                </c:pt>
                <c:pt idx="10">
                  <c:v>9.6042430301010793</c:v>
                </c:pt>
                <c:pt idx="11">
                  <c:v>7.81550594246362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1856"/>
        <c:axId val="176843392"/>
      </c:scatterChart>
      <c:valAx>
        <c:axId val="17684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843392"/>
        <c:crosses val="autoZero"/>
        <c:crossBetween val="midCat"/>
      </c:valAx>
      <c:valAx>
        <c:axId val="1768433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68418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[0]!x_s1_c5</c:f>
              <c:numCache>
                <c:formatCode>General</c:formatCode>
                <c:ptCount val="12"/>
                <c:pt idx="0">
                  <c:v>-2.1</c:v>
                </c:pt>
                <c:pt idx="1">
                  <c:v>-1.75</c:v>
                </c:pt>
                <c:pt idx="2">
                  <c:v>-1.4</c:v>
                </c:pt>
                <c:pt idx="3">
                  <c:v>-1.05</c:v>
                </c:pt>
                <c:pt idx="4">
                  <c:v>-0.7</c:v>
                </c:pt>
                <c:pt idx="5">
                  <c:v>-0.35</c:v>
                </c:pt>
                <c:pt idx="6" formatCode="0.00E+00">
                  <c:v>-4.4408920985006301E-16</c:v>
                </c:pt>
                <c:pt idx="7">
                  <c:v>0.35</c:v>
                </c:pt>
                <c:pt idx="8">
                  <c:v>0.7</c:v>
                </c:pt>
                <c:pt idx="9">
                  <c:v>1.05</c:v>
                </c:pt>
                <c:pt idx="10">
                  <c:v>1.4</c:v>
                </c:pt>
                <c:pt idx="11">
                  <c:v>1.75</c:v>
                </c:pt>
              </c:numCache>
            </c:numRef>
          </c:xVal>
          <c:yVal>
            <c:numRef>
              <c:f>[0]!y_s1_c5</c:f>
              <c:numCache>
                <c:formatCode>General</c:formatCode>
                <c:ptCount val="12"/>
                <c:pt idx="0">
                  <c:v>7.0091080750860799</c:v>
                </c:pt>
                <c:pt idx="1">
                  <c:v>8.68788181717205</c:v>
                </c:pt>
                <c:pt idx="2">
                  <c:v>9.5309341330667507</c:v>
                </c:pt>
                <c:pt idx="3">
                  <c:v>10.0367655226036</c:v>
                </c:pt>
                <c:pt idx="4">
                  <c:v>10.373986448961499</c:v>
                </c:pt>
                <c:pt idx="5">
                  <c:v>10.579251360657601</c:v>
                </c:pt>
                <c:pt idx="6">
                  <c:v>10.6085749194713</c:v>
                </c:pt>
                <c:pt idx="7">
                  <c:v>10.6085749194713</c:v>
                </c:pt>
                <c:pt idx="8">
                  <c:v>10.579251360657601</c:v>
                </c:pt>
                <c:pt idx="9">
                  <c:v>10.410640897478601</c:v>
                </c:pt>
                <c:pt idx="10">
                  <c:v>9.7361990447628592</c:v>
                </c:pt>
                <c:pt idx="11">
                  <c:v>7.9841164056425598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96544"/>
        <c:axId val="177998080"/>
      </c:scatterChart>
      <c:valAx>
        <c:axId val="17799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998080"/>
        <c:crosses val="autoZero"/>
        <c:crossBetween val="midCat"/>
      </c:valAx>
      <c:valAx>
        <c:axId val="1779980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9965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[0]!x_s1_c4</c:f>
              <c:numCache>
                <c:formatCode>General</c:formatCode>
                <c:ptCount val="11"/>
                <c:pt idx="0">
                  <c:v>-1.75</c:v>
                </c:pt>
                <c:pt idx="1">
                  <c:v>-1.4</c:v>
                </c:pt>
                <c:pt idx="2">
                  <c:v>-1.05</c:v>
                </c:pt>
                <c:pt idx="3">
                  <c:v>-0.7</c:v>
                </c:pt>
                <c:pt idx="4">
                  <c:v>-0.35</c:v>
                </c:pt>
                <c:pt idx="5" formatCode="0.00E+00">
                  <c:v>-4.4408920985006301E-16</c:v>
                </c:pt>
                <c:pt idx="6">
                  <c:v>0.35</c:v>
                </c:pt>
                <c:pt idx="7">
                  <c:v>0.7</c:v>
                </c:pt>
                <c:pt idx="8">
                  <c:v>1.05</c:v>
                </c:pt>
                <c:pt idx="9">
                  <c:v>1.4</c:v>
                </c:pt>
                <c:pt idx="10">
                  <c:v>1.75</c:v>
                </c:pt>
              </c:numCache>
            </c:numRef>
          </c:xVal>
          <c:yVal>
            <c:numRef>
              <c:f>[0]!y_s1_c4</c:f>
              <c:numCache>
                <c:formatCode>General</c:formatCode>
                <c:ptCount val="11"/>
                <c:pt idx="0">
                  <c:v>8.4239697878485007</c:v>
                </c:pt>
                <c:pt idx="1">
                  <c:v>9.3989781184049797</c:v>
                </c:pt>
                <c:pt idx="2">
                  <c:v>9.9048095079418008</c:v>
                </c:pt>
                <c:pt idx="3">
                  <c:v>10.3080084416306</c:v>
                </c:pt>
                <c:pt idx="4">
                  <c:v>10.513273353326699</c:v>
                </c:pt>
                <c:pt idx="5">
                  <c:v>10.6085749194713</c:v>
                </c:pt>
                <c:pt idx="6">
                  <c:v>10.6085749194713</c:v>
                </c:pt>
                <c:pt idx="7">
                  <c:v>10.5425969121404</c:v>
                </c:pt>
                <c:pt idx="8">
                  <c:v>10.344662890147699</c:v>
                </c:pt>
                <c:pt idx="9">
                  <c:v>9.7728534932800208</c:v>
                </c:pt>
                <c:pt idx="10">
                  <c:v>8.3213373320004393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18176"/>
        <c:axId val="178019712"/>
      </c:scatterChart>
      <c:valAx>
        <c:axId val="1780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019712"/>
        <c:crosses val="autoZero"/>
        <c:crossBetween val="midCat"/>
      </c:valAx>
      <c:valAx>
        <c:axId val="1780197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80181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[0]!x_s1_c3</c:f>
              <c:numCache>
                <c:formatCode>General</c:formatCode>
                <c:ptCount val="11"/>
                <c:pt idx="0">
                  <c:v>-1.75</c:v>
                </c:pt>
                <c:pt idx="1">
                  <c:v>-1.4</c:v>
                </c:pt>
                <c:pt idx="2">
                  <c:v>-1.05</c:v>
                </c:pt>
                <c:pt idx="3">
                  <c:v>-0.7</c:v>
                </c:pt>
                <c:pt idx="4">
                  <c:v>-0.35</c:v>
                </c:pt>
                <c:pt idx="5" formatCode="0.00E+00">
                  <c:v>-4.4408920985006301E-16</c:v>
                </c:pt>
                <c:pt idx="6">
                  <c:v>0.35</c:v>
                </c:pt>
                <c:pt idx="7">
                  <c:v>0.7</c:v>
                </c:pt>
                <c:pt idx="8">
                  <c:v>1.05</c:v>
                </c:pt>
                <c:pt idx="9">
                  <c:v>1.4</c:v>
                </c:pt>
                <c:pt idx="10">
                  <c:v>1.75</c:v>
                </c:pt>
              </c:numCache>
            </c:numRef>
          </c:xVal>
          <c:yVal>
            <c:numRef>
              <c:f>[0]!y_s1_c3</c:f>
              <c:numCache>
                <c:formatCode>General</c:formatCode>
                <c:ptCount val="11"/>
                <c:pt idx="0">
                  <c:v>8.0500944129734506</c:v>
                </c:pt>
                <c:pt idx="1">
                  <c:v>9.1277351993779892</c:v>
                </c:pt>
                <c:pt idx="2">
                  <c:v>9.8388315006109099</c:v>
                </c:pt>
                <c:pt idx="3">
                  <c:v>10.2420304342997</c:v>
                </c:pt>
                <c:pt idx="4">
                  <c:v>10.4766189048095</c:v>
                </c:pt>
                <c:pt idx="5">
                  <c:v>10.579251360657601</c:v>
                </c:pt>
                <c:pt idx="6">
                  <c:v>10.6085749194713</c:v>
                </c:pt>
                <c:pt idx="7">
                  <c:v>10.579251360657601</c:v>
                </c:pt>
                <c:pt idx="8">
                  <c:v>10.373986448961499</c:v>
                </c:pt>
                <c:pt idx="9">
                  <c:v>9.9707875152726899</c:v>
                </c:pt>
                <c:pt idx="10">
                  <c:v>8.3873153393313302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7424"/>
        <c:axId val="178088960"/>
      </c:scatterChart>
      <c:valAx>
        <c:axId val="17808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088960"/>
        <c:crosses val="autoZero"/>
        <c:crossBetween val="midCat"/>
      </c:valAx>
      <c:valAx>
        <c:axId val="1780889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80874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[0]!x_s1_c2</c:f>
              <c:numCache>
                <c:formatCode>General</c:formatCode>
                <c:ptCount val="12"/>
                <c:pt idx="0">
                  <c:v>-1.75</c:v>
                </c:pt>
                <c:pt idx="1">
                  <c:v>-1.4</c:v>
                </c:pt>
                <c:pt idx="2">
                  <c:v>-1.05</c:v>
                </c:pt>
                <c:pt idx="3">
                  <c:v>-0.7</c:v>
                </c:pt>
                <c:pt idx="4">
                  <c:v>-0.35</c:v>
                </c:pt>
                <c:pt idx="5" formatCode="0.00E+00">
                  <c:v>-4.4408920985006301E-16</c:v>
                </c:pt>
                <c:pt idx="6">
                  <c:v>0.35</c:v>
                </c:pt>
                <c:pt idx="7">
                  <c:v>0.7</c:v>
                </c:pt>
                <c:pt idx="8">
                  <c:v>1.05</c:v>
                </c:pt>
                <c:pt idx="9">
                  <c:v>1.4</c:v>
                </c:pt>
                <c:pt idx="10">
                  <c:v>1.75</c:v>
                </c:pt>
                <c:pt idx="11">
                  <c:v>2.1</c:v>
                </c:pt>
              </c:numCache>
            </c:numRef>
          </c:xVal>
          <c:yVal>
            <c:numRef>
              <c:f>[0]!y_s1_c2</c:f>
              <c:numCache>
                <c:formatCode>General</c:formatCode>
                <c:ptCount val="12"/>
                <c:pt idx="0">
                  <c:v>7.8814839497945099</c:v>
                </c:pt>
                <c:pt idx="1">
                  <c:v>9.0617571920471001</c:v>
                </c:pt>
                <c:pt idx="2">
                  <c:v>9.7361990447628592</c:v>
                </c:pt>
                <c:pt idx="3">
                  <c:v>10.2420304342997</c:v>
                </c:pt>
                <c:pt idx="4">
                  <c:v>10.4399644562923</c:v>
                </c:pt>
                <c:pt idx="5">
                  <c:v>10.645229367988399</c:v>
                </c:pt>
                <c:pt idx="6">
                  <c:v>10.6085749194713</c:v>
                </c:pt>
                <c:pt idx="7">
                  <c:v>10.579251360657601</c:v>
                </c:pt>
                <c:pt idx="8">
                  <c:v>10.4399644562923</c:v>
                </c:pt>
                <c:pt idx="9">
                  <c:v>10.1760524269688</c:v>
                </c:pt>
                <c:pt idx="10">
                  <c:v>8.7611907142063803</c:v>
                </c:pt>
                <c:pt idx="11">
                  <c:v>6.8038431633899803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19808"/>
        <c:axId val="178121344"/>
      </c:scatterChart>
      <c:valAx>
        <c:axId val="1781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121344"/>
        <c:crosses val="autoZero"/>
        <c:crossBetween val="midCat"/>
      </c:valAx>
      <c:valAx>
        <c:axId val="1781213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81198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[0]!x_s1_c1</c:f>
              <c:numCache>
                <c:formatCode>General</c:formatCode>
                <c:ptCount val="12"/>
                <c:pt idx="0">
                  <c:v>-1.75</c:v>
                </c:pt>
                <c:pt idx="1">
                  <c:v>-1.4</c:v>
                </c:pt>
                <c:pt idx="2">
                  <c:v>-1.05</c:v>
                </c:pt>
                <c:pt idx="3">
                  <c:v>-0.7</c:v>
                </c:pt>
                <c:pt idx="4">
                  <c:v>-0.35</c:v>
                </c:pt>
                <c:pt idx="5" formatCode="0.00E+00">
                  <c:v>-4.4408920985006301E-16</c:v>
                </c:pt>
                <c:pt idx="6">
                  <c:v>0.35</c:v>
                </c:pt>
                <c:pt idx="7">
                  <c:v>0.7</c:v>
                </c:pt>
                <c:pt idx="8">
                  <c:v>1.05</c:v>
                </c:pt>
                <c:pt idx="9">
                  <c:v>1.4</c:v>
                </c:pt>
                <c:pt idx="10">
                  <c:v>1.75</c:v>
                </c:pt>
                <c:pt idx="11">
                  <c:v>2.1</c:v>
                </c:pt>
              </c:numCache>
            </c:numRef>
          </c:xVal>
          <c:yVal>
            <c:numRef>
              <c:f>[0]!y_s1_c1</c:f>
              <c:numCache>
                <c:formatCode>General</c:formatCode>
                <c:ptCount val="12"/>
                <c:pt idx="0">
                  <c:v>7.6102410307675203</c:v>
                </c:pt>
                <c:pt idx="1">
                  <c:v>8.9957791847162092</c:v>
                </c:pt>
                <c:pt idx="2">
                  <c:v>9.6702210374319701</c:v>
                </c:pt>
                <c:pt idx="3">
                  <c:v>10.205375985782499</c:v>
                </c:pt>
                <c:pt idx="4">
                  <c:v>10.410640897478601</c:v>
                </c:pt>
                <c:pt idx="5">
                  <c:v>10.6085749194713</c:v>
                </c:pt>
                <c:pt idx="6">
                  <c:v>10.6085749194713</c:v>
                </c:pt>
                <c:pt idx="7">
                  <c:v>10.579251360657601</c:v>
                </c:pt>
                <c:pt idx="8">
                  <c:v>10.4399644562923</c:v>
                </c:pt>
                <c:pt idx="9">
                  <c:v>10.205375985782499</c:v>
                </c:pt>
                <c:pt idx="10">
                  <c:v>8.8564922803510004</c:v>
                </c:pt>
                <c:pt idx="11">
                  <c:v>7.1410640897478599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64480"/>
        <c:axId val="178166016"/>
      </c:scatterChart>
      <c:valAx>
        <c:axId val="17816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166016"/>
        <c:crosses val="autoZero"/>
        <c:crossBetween val="midCat"/>
      </c:valAx>
      <c:valAx>
        <c:axId val="1781660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8164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7481926601280104"/>
                  <c:y val="-7.0462548965298938E-3"/>
                </c:manualLayout>
              </c:layout>
              <c:numFmt formatCode="General" sourceLinked="0"/>
            </c:trendlineLbl>
          </c:trendline>
          <c:xVal>
            <c:numRef>
              <c:f>'Sensor 1'!$S$3:$S$14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1'!$R$3:$R$14</c:f>
              <c:numCache>
                <c:formatCode>General</c:formatCode>
                <c:ptCount val="12"/>
                <c:pt idx="0">
                  <c:v>-0.23891640866873476</c:v>
                </c:pt>
                <c:pt idx="1">
                  <c:v>-0.16322459185460392</c:v>
                </c:pt>
                <c:pt idx="2">
                  <c:v>-0.13792300482318035</c:v>
                </c:pt>
                <c:pt idx="3">
                  <c:v>-6.5805019147722299E-2</c:v>
                </c:pt>
                <c:pt idx="4">
                  <c:v>-8.6645068732068675E-2</c:v>
                </c:pt>
                <c:pt idx="5">
                  <c:v>-9.2457672310360575E-2</c:v>
                </c:pt>
                <c:pt idx="6">
                  <c:v>-7.2257158148242587E-2</c:v>
                </c:pt>
                <c:pt idx="7">
                  <c:v>9.4359563895247724E-3</c:v>
                </c:pt>
                <c:pt idx="8">
                  <c:v>5.194306569342607E-2</c:v>
                </c:pt>
                <c:pt idx="9">
                  <c:v>0.12818495991153037</c:v>
                </c:pt>
                <c:pt idx="10">
                  <c:v>0.11764798248145462</c:v>
                </c:pt>
                <c:pt idx="11">
                  <c:v>0.16929180401428937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60416"/>
        <c:axId val="178861952"/>
      </c:scatterChart>
      <c:valAx>
        <c:axId val="17886041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78861952"/>
        <c:crosses val="max"/>
        <c:crossBetween val="midCat"/>
      </c:valAx>
      <c:valAx>
        <c:axId val="1788619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88604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[0]!x_s2_c12</c:f>
              <c:numCache>
                <c:formatCode>General</c:formatCode>
                <c:ptCount val="9"/>
                <c:pt idx="0">
                  <c:v>7.25</c:v>
                </c:pt>
                <c:pt idx="1">
                  <c:v>7.6</c:v>
                </c:pt>
                <c:pt idx="2">
                  <c:v>7.95</c:v>
                </c:pt>
                <c:pt idx="3">
                  <c:v>8.3000000000000007</c:v>
                </c:pt>
                <c:pt idx="4">
                  <c:v>8.65</c:v>
                </c:pt>
                <c:pt idx="5">
                  <c:v>9</c:v>
                </c:pt>
                <c:pt idx="6">
                  <c:v>9.35</c:v>
                </c:pt>
                <c:pt idx="7">
                  <c:v>9.6999999999999993</c:v>
                </c:pt>
                <c:pt idx="8">
                  <c:v>10.050000000000001</c:v>
                </c:pt>
              </c:numCache>
            </c:numRef>
          </c:xVal>
          <c:yVal>
            <c:numRef>
              <c:f>[0]!y_s2_c12</c:f>
              <c:numCache>
                <c:formatCode>General</c:formatCode>
                <c:ptCount val="9"/>
                <c:pt idx="0">
                  <c:v>8.6706720071206007</c:v>
                </c:pt>
                <c:pt idx="1">
                  <c:v>9.5004450378282108</c:v>
                </c:pt>
                <c:pt idx="2">
                  <c:v>9.9997774810858893</c:v>
                </c:pt>
                <c:pt idx="3">
                  <c:v>10.2714730752114</c:v>
                </c:pt>
                <c:pt idx="4">
                  <c:v>10.3008455718736</c:v>
                </c:pt>
                <c:pt idx="5">
                  <c:v>10.168669336893601</c:v>
                </c:pt>
                <c:pt idx="6">
                  <c:v>9.8676012461059202</c:v>
                </c:pt>
                <c:pt idx="7">
                  <c:v>9.3021806853582607</c:v>
                </c:pt>
                <c:pt idx="8">
                  <c:v>7.4663996439697398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72992"/>
        <c:axId val="96378880"/>
      </c:scatterChart>
      <c:valAx>
        <c:axId val="9637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378880"/>
        <c:crosses val="autoZero"/>
        <c:crossBetween val="midCat"/>
      </c:valAx>
      <c:valAx>
        <c:axId val="963788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63729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[0]!x_s2_c11</c:f>
              <c:numCache>
                <c:formatCode>General</c:formatCode>
                <c:ptCount val="8"/>
                <c:pt idx="0">
                  <c:v>7.6</c:v>
                </c:pt>
                <c:pt idx="1">
                  <c:v>7.95</c:v>
                </c:pt>
                <c:pt idx="2">
                  <c:v>8.3000000000000007</c:v>
                </c:pt>
                <c:pt idx="3">
                  <c:v>8.65</c:v>
                </c:pt>
                <c:pt idx="4">
                  <c:v>9</c:v>
                </c:pt>
                <c:pt idx="5">
                  <c:v>9.35</c:v>
                </c:pt>
                <c:pt idx="6">
                  <c:v>9.6999999999999993</c:v>
                </c:pt>
                <c:pt idx="7">
                  <c:v>10.050000000000001</c:v>
                </c:pt>
              </c:numCache>
            </c:numRef>
          </c:xVal>
          <c:yVal>
            <c:numRef>
              <c:f>[0]!y_s2_c11</c:f>
              <c:numCache>
                <c:formatCode>General</c:formatCode>
                <c:ptCount val="8"/>
                <c:pt idx="0">
                  <c:v>9.1993769470405002</c:v>
                </c:pt>
                <c:pt idx="1">
                  <c:v>9.8382287494437008</c:v>
                </c:pt>
                <c:pt idx="2">
                  <c:v>10.2053849577214</c:v>
                </c:pt>
                <c:pt idx="3">
                  <c:v>10.2714730752114</c:v>
                </c:pt>
                <c:pt idx="4">
                  <c:v>10.2053849577214</c:v>
                </c:pt>
                <c:pt idx="5">
                  <c:v>10.0658655985759</c:v>
                </c:pt>
                <c:pt idx="6">
                  <c:v>9.7721406319537198</c:v>
                </c:pt>
                <c:pt idx="7">
                  <c:v>8.5017801513128592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08320"/>
        <c:axId val="96409856"/>
      </c:scatterChart>
      <c:valAx>
        <c:axId val="9640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409856"/>
        <c:crosses val="autoZero"/>
        <c:crossBetween val="midCat"/>
      </c:valAx>
      <c:valAx>
        <c:axId val="964098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6408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[0]!x_s2_c10</c:f>
              <c:numCache>
                <c:formatCode>General</c:formatCode>
                <c:ptCount val="8"/>
                <c:pt idx="0">
                  <c:v>7.6</c:v>
                </c:pt>
                <c:pt idx="1">
                  <c:v>7.95</c:v>
                </c:pt>
                <c:pt idx="2">
                  <c:v>8.3000000000000007</c:v>
                </c:pt>
                <c:pt idx="3">
                  <c:v>8.65</c:v>
                </c:pt>
                <c:pt idx="4">
                  <c:v>9</c:v>
                </c:pt>
                <c:pt idx="5">
                  <c:v>9.35</c:v>
                </c:pt>
                <c:pt idx="6">
                  <c:v>9.6999999999999993</c:v>
                </c:pt>
                <c:pt idx="7">
                  <c:v>10.050000000000001</c:v>
                </c:pt>
              </c:numCache>
            </c:numRef>
          </c:xVal>
          <c:yVal>
            <c:numRef>
              <c:f>[0]!y_s2_c10</c:f>
              <c:numCache>
                <c:formatCode>General</c:formatCode>
                <c:ptCount val="8"/>
                <c:pt idx="0">
                  <c:v>9.0011125945705395</c:v>
                </c:pt>
                <c:pt idx="1">
                  <c:v>9.7721406319537198</c:v>
                </c:pt>
                <c:pt idx="2">
                  <c:v>10.139296840231401</c:v>
                </c:pt>
                <c:pt idx="3">
                  <c:v>10.234757454383599</c:v>
                </c:pt>
                <c:pt idx="4">
                  <c:v>10.2053849577214</c:v>
                </c:pt>
                <c:pt idx="5">
                  <c:v>10.0658655985759</c:v>
                </c:pt>
                <c:pt idx="6">
                  <c:v>9.7721406319537198</c:v>
                </c:pt>
                <c:pt idx="7">
                  <c:v>8.8028482421005805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8528"/>
        <c:axId val="96452608"/>
      </c:scatterChart>
      <c:valAx>
        <c:axId val="9643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452608"/>
        <c:crosses val="autoZero"/>
        <c:crossBetween val="midCat"/>
      </c:valAx>
      <c:valAx>
        <c:axId val="964526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64385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[0]!x_s2_c9</c:f>
              <c:numCache>
                <c:formatCode>General</c:formatCode>
                <c:ptCount val="8"/>
                <c:pt idx="0">
                  <c:v>7.6</c:v>
                </c:pt>
                <c:pt idx="1">
                  <c:v>7.95</c:v>
                </c:pt>
                <c:pt idx="2">
                  <c:v>8.3000000000000007</c:v>
                </c:pt>
                <c:pt idx="3">
                  <c:v>8.65</c:v>
                </c:pt>
                <c:pt idx="4">
                  <c:v>9</c:v>
                </c:pt>
                <c:pt idx="5">
                  <c:v>9.35</c:v>
                </c:pt>
                <c:pt idx="6">
                  <c:v>9.6999999999999993</c:v>
                </c:pt>
                <c:pt idx="7">
                  <c:v>10.050000000000001</c:v>
                </c:pt>
              </c:numCache>
            </c:numRef>
          </c:xVal>
          <c:yVal>
            <c:numRef>
              <c:f>[0]!y_s2_c9</c:f>
              <c:numCache>
                <c:formatCode>General</c:formatCode>
                <c:ptCount val="8"/>
                <c:pt idx="0">
                  <c:v>8.9350244770805496</c:v>
                </c:pt>
                <c:pt idx="1">
                  <c:v>9.6693368936359594</c:v>
                </c:pt>
                <c:pt idx="2">
                  <c:v>10.0658655985759</c:v>
                </c:pt>
                <c:pt idx="3">
                  <c:v>10.234757454383599</c:v>
                </c:pt>
                <c:pt idx="4">
                  <c:v>10.234757454383599</c:v>
                </c:pt>
                <c:pt idx="5">
                  <c:v>10.0658655985759</c:v>
                </c:pt>
                <c:pt idx="6">
                  <c:v>9.8015131286159303</c:v>
                </c:pt>
                <c:pt idx="7">
                  <c:v>8.9056519804183392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47200"/>
        <c:axId val="96548736"/>
      </c:scatterChart>
      <c:valAx>
        <c:axId val="9654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548736"/>
        <c:crosses val="autoZero"/>
        <c:crossBetween val="midCat"/>
      </c:valAx>
      <c:valAx>
        <c:axId val="965487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65472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[0]!x_s2_c8</c:f>
              <c:numCache>
                <c:formatCode>General</c:formatCode>
                <c:ptCount val="7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</c:numCache>
            </c:numRef>
          </c:xVal>
          <c:yVal>
            <c:numRef>
              <c:f>[0]!y_s2_c8</c:f>
              <c:numCache>
                <c:formatCode>General</c:formatCode>
                <c:ptCount val="7"/>
                <c:pt idx="0">
                  <c:v>9.5371606586559796</c:v>
                </c:pt>
                <c:pt idx="1">
                  <c:v>9.9997774810858893</c:v>
                </c:pt>
                <c:pt idx="2">
                  <c:v>10.2053849577214</c:v>
                </c:pt>
                <c:pt idx="3">
                  <c:v>10.168669336893601</c:v>
                </c:pt>
                <c:pt idx="4">
                  <c:v>9.8676012461059202</c:v>
                </c:pt>
                <c:pt idx="5">
                  <c:v>9.5004450378282108</c:v>
                </c:pt>
                <c:pt idx="6">
                  <c:v>8.8322207387627891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69600"/>
        <c:axId val="96595968"/>
      </c:scatterChart>
      <c:valAx>
        <c:axId val="9656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6595968"/>
        <c:crosses val="autoZero"/>
        <c:crossBetween val="midCat"/>
      </c:valAx>
      <c:valAx>
        <c:axId val="965959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65696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[0]!x_s2_c7</c:f>
              <c:numCache>
                <c:formatCode>General</c:formatCode>
                <c:ptCount val="7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</c:numCache>
            </c:numRef>
          </c:xVal>
          <c:yVal>
            <c:numRef>
              <c:f>[0]!y_s2_c7</c:f>
              <c:numCache>
                <c:formatCode>General</c:formatCode>
                <c:ptCount val="7"/>
                <c:pt idx="0">
                  <c:v>9.6693368936359594</c:v>
                </c:pt>
                <c:pt idx="1">
                  <c:v>10.1025812194036</c:v>
                </c:pt>
                <c:pt idx="2">
                  <c:v>10.337561192701401</c:v>
                </c:pt>
                <c:pt idx="3">
                  <c:v>10.2714730752114</c:v>
                </c:pt>
                <c:pt idx="4">
                  <c:v>9.9704049844236806</c:v>
                </c:pt>
                <c:pt idx="5">
                  <c:v>9.7721406319537198</c:v>
                </c:pt>
                <c:pt idx="6">
                  <c:v>9.0672007120605294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2016"/>
        <c:axId val="179783552"/>
      </c:scatterChart>
      <c:valAx>
        <c:axId val="17978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783552"/>
        <c:crosses val="autoZero"/>
        <c:crossBetween val="midCat"/>
      </c:valAx>
      <c:valAx>
        <c:axId val="1797835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97820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[0]!x_s2_c6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[0]!y_s2_c6</c:f>
              <c:numCache>
                <c:formatCode>General</c:formatCode>
                <c:ptCount val="8"/>
                <c:pt idx="0">
                  <c:v>9.8015131286159303</c:v>
                </c:pt>
                <c:pt idx="1">
                  <c:v>10.2053849577214</c:v>
                </c:pt>
                <c:pt idx="2">
                  <c:v>10.3669336893636</c:v>
                </c:pt>
                <c:pt idx="3">
                  <c:v>10.337561192701401</c:v>
                </c:pt>
                <c:pt idx="4">
                  <c:v>10.1025812194036</c:v>
                </c:pt>
                <c:pt idx="5">
                  <c:v>9.93368936359591</c:v>
                </c:pt>
                <c:pt idx="6">
                  <c:v>9.3388963061860295</c:v>
                </c:pt>
                <c:pt idx="7">
                  <c:v>6.6659991099243401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00320"/>
        <c:axId val="179810304"/>
      </c:scatterChart>
      <c:valAx>
        <c:axId val="17980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810304"/>
        <c:crosses val="autoZero"/>
        <c:crossBetween val="midCat"/>
      </c:valAx>
      <c:valAx>
        <c:axId val="1798103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9800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[0]!x_s2_c5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[0]!y_s2_c5</c:f>
              <c:numCache>
                <c:formatCode>General</c:formatCode>
                <c:ptCount val="8"/>
                <c:pt idx="0">
                  <c:v>9.6032487761459695</c:v>
                </c:pt>
                <c:pt idx="1">
                  <c:v>10.036493101913701</c:v>
                </c:pt>
                <c:pt idx="2">
                  <c:v>10.3008455718736</c:v>
                </c:pt>
                <c:pt idx="3">
                  <c:v>10.2714730752114</c:v>
                </c:pt>
                <c:pt idx="4">
                  <c:v>10.036493101913701</c:v>
                </c:pt>
                <c:pt idx="5">
                  <c:v>9.8382287494437008</c:v>
                </c:pt>
                <c:pt idx="6">
                  <c:v>9.3682688028482399</c:v>
                </c:pt>
                <c:pt idx="7">
                  <c:v>7.33422340898976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09696"/>
        <c:axId val="180111232"/>
      </c:scatterChart>
      <c:valAx>
        <c:axId val="18010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11232"/>
        <c:crosses val="autoZero"/>
        <c:crossBetween val="midCat"/>
      </c:valAx>
      <c:valAx>
        <c:axId val="1801112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1096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[0]!x_s2_c4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[0]!y_s2_c4</c:f>
              <c:numCache>
                <c:formatCode>General</c:formatCode>
                <c:ptCount val="8"/>
                <c:pt idx="0">
                  <c:v>9.3388963061860295</c:v>
                </c:pt>
                <c:pt idx="1">
                  <c:v>9.9043168669336907</c:v>
                </c:pt>
                <c:pt idx="2">
                  <c:v>10.168669336893601</c:v>
                </c:pt>
                <c:pt idx="3">
                  <c:v>10.2053849577214</c:v>
                </c:pt>
                <c:pt idx="4">
                  <c:v>9.9704049844236806</c:v>
                </c:pt>
                <c:pt idx="5">
                  <c:v>9.7721406319537198</c:v>
                </c:pt>
                <c:pt idx="6">
                  <c:v>9.4049844236760105</c:v>
                </c:pt>
                <c:pt idx="7">
                  <c:v>7.67200712060525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4768"/>
        <c:axId val="180150656"/>
      </c:scatterChart>
      <c:valAx>
        <c:axId val="18014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50656"/>
        <c:crosses val="autoZero"/>
        <c:crossBetween val="midCat"/>
      </c:valAx>
      <c:valAx>
        <c:axId val="1801506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1447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[0]!x_s2_c3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[0]!y_s2_c3</c:f>
              <c:numCache>
                <c:formatCode>General</c:formatCode>
                <c:ptCount val="8"/>
                <c:pt idx="0">
                  <c:v>9.2360925678682708</c:v>
                </c:pt>
                <c:pt idx="1">
                  <c:v>9.8676012461059202</c:v>
                </c:pt>
                <c:pt idx="2">
                  <c:v>10.2053849577214</c:v>
                </c:pt>
                <c:pt idx="3">
                  <c:v>10.234757454383599</c:v>
                </c:pt>
                <c:pt idx="4">
                  <c:v>10.168669336893601</c:v>
                </c:pt>
                <c:pt idx="5">
                  <c:v>9.8382287494437008</c:v>
                </c:pt>
                <c:pt idx="6">
                  <c:v>9.4049844236760105</c:v>
                </c:pt>
                <c:pt idx="7">
                  <c:v>7.9657320872274102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79712"/>
        <c:axId val="180181248"/>
      </c:scatterChart>
      <c:valAx>
        <c:axId val="18017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81248"/>
        <c:crosses val="autoZero"/>
        <c:crossBetween val="midCat"/>
      </c:valAx>
      <c:valAx>
        <c:axId val="1801812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179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[0]!x_s2_c2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[0]!y_s2_c2</c:f>
              <c:numCache>
                <c:formatCode>General</c:formatCode>
                <c:ptCount val="8"/>
                <c:pt idx="0">
                  <c:v>9.1039163328882999</c:v>
                </c:pt>
                <c:pt idx="1">
                  <c:v>9.8015131286159303</c:v>
                </c:pt>
                <c:pt idx="2">
                  <c:v>10.139296840231401</c:v>
                </c:pt>
                <c:pt idx="3">
                  <c:v>10.2714730752114</c:v>
                </c:pt>
                <c:pt idx="4">
                  <c:v>10.234757454383599</c:v>
                </c:pt>
                <c:pt idx="5">
                  <c:v>9.93368936359591</c:v>
                </c:pt>
                <c:pt idx="6">
                  <c:v>9.7354250111259493</c:v>
                </c:pt>
                <c:pt idx="7">
                  <c:v>8.4724076546506506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06208"/>
        <c:axId val="180212096"/>
      </c:scatterChart>
      <c:valAx>
        <c:axId val="18020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212096"/>
        <c:crosses val="autoZero"/>
        <c:crossBetween val="midCat"/>
      </c:valAx>
      <c:valAx>
        <c:axId val="180212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206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[0]!x_s2_c1</c:f>
              <c:numCache>
                <c:formatCode>General</c:formatCode>
                <c:ptCount val="8"/>
                <c:pt idx="0">
                  <c:v>7.95</c:v>
                </c:pt>
                <c:pt idx="1">
                  <c:v>8.3000000000000007</c:v>
                </c:pt>
                <c:pt idx="2">
                  <c:v>8.65</c:v>
                </c:pt>
                <c:pt idx="3">
                  <c:v>9</c:v>
                </c:pt>
                <c:pt idx="4">
                  <c:v>9.35</c:v>
                </c:pt>
                <c:pt idx="5">
                  <c:v>9.6999999999999993</c:v>
                </c:pt>
                <c:pt idx="6">
                  <c:v>10.050000000000001</c:v>
                </c:pt>
                <c:pt idx="7">
                  <c:v>10.4</c:v>
                </c:pt>
              </c:numCache>
            </c:numRef>
          </c:xVal>
          <c:yVal>
            <c:numRef>
              <c:f>[0]!y_s2_c1</c:f>
              <c:numCache>
                <c:formatCode>General</c:formatCode>
                <c:ptCount val="8"/>
                <c:pt idx="0">
                  <c:v>9.0011125945705395</c:v>
                </c:pt>
                <c:pt idx="1">
                  <c:v>9.7354250111259493</c:v>
                </c:pt>
                <c:pt idx="2">
                  <c:v>10.1025812194036</c:v>
                </c:pt>
                <c:pt idx="3">
                  <c:v>10.2714730752114</c:v>
                </c:pt>
                <c:pt idx="4">
                  <c:v>10.2053849577214</c:v>
                </c:pt>
                <c:pt idx="5">
                  <c:v>9.9704049844236806</c:v>
                </c:pt>
                <c:pt idx="6">
                  <c:v>9.7721406319537198</c:v>
                </c:pt>
                <c:pt idx="7">
                  <c:v>8.7661326212728099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64736"/>
        <c:axId val="180566272"/>
      </c:scatterChart>
      <c:valAx>
        <c:axId val="18056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566272"/>
        <c:crosses val="autoZero"/>
        <c:crossBetween val="midCat"/>
      </c:valAx>
      <c:valAx>
        <c:axId val="180566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5647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42349311599208"/>
                  <c:y val="1.4160566612590512E-2"/>
                </c:manualLayout>
              </c:layout>
              <c:numFmt formatCode="General" sourceLinked="0"/>
            </c:trendlineLbl>
          </c:trendline>
          <c:xVal>
            <c:numRef>
              <c:f>'Sensor 2'!$S$3:$S$14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2'!$R$3:$R$14</c:f>
              <c:numCache>
                <c:formatCode>General</c:formatCode>
                <c:ptCount val="12"/>
                <c:pt idx="0">
                  <c:v>8.5292504981497306</c:v>
                </c:pt>
                <c:pt idx="1">
                  <c:v>8.7236567164179153</c:v>
                </c:pt>
                <c:pt idx="2">
                  <c:v>8.7942595510043375</c:v>
                </c:pt>
                <c:pt idx="3">
                  <c:v>8.8336661341853073</c:v>
                </c:pt>
                <c:pt idx="4">
                  <c:v>8.7997159090909065</c:v>
                </c:pt>
                <c:pt idx="5">
                  <c:v>8.8212962962963033</c:v>
                </c:pt>
                <c:pt idx="6">
                  <c:v>8.830815160955348</c:v>
                </c:pt>
                <c:pt idx="7">
                  <c:v>8.8708524640342841</c:v>
                </c:pt>
                <c:pt idx="8">
                  <c:v>8.9304952286936494</c:v>
                </c:pt>
                <c:pt idx="9">
                  <c:v>8.9822082379862671</c:v>
                </c:pt>
                <c:pt idx="10">
                  <c:v>9.0812590975254732</c:v>
                </c:pt>
                <c:pt idx="11">
                  <c:v>9.1390392156862781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13120"/>
        <c:axId val="180614656"/>
      </c:scatterChart>
      <c:valAx>
        <c:axId val="18061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614656"/>
        <c:crosses val="autoZero"/>
        <c:crossBetween val="midCat"/>
      </c:valAx>
      <c:valAx>
        <c:axId val="1806146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6131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[0]!x_s3_c12</c:f>
              <c:numCache>
                <c:formatCode>General</c:formatCode>
                <c:ptCount val="8"/>
                <c:pt idx="0">
                  <c:v>16.600000000000001</c:v>
                </c:pt>
                <c:pt idx="1">
                  <c:v>16.95</c:v>
                </c:pt>
                <c:pt idx="2">
                  <c:v>17.3</c:v>
                </c:pt>
                <c:pt idx="3">
                  <c:v>17.649999999999999</c:v>
                </c:pt>
                <c:pt idx="4">
                  <c:v>18</c:v>
                </c:pt>
                <c:pt idx="5">
                  <c:v>18.350000000000001</c:v>
                </c:pt>
                <c:pt idx="6">
                  <c:v>18.7</c:v>
                </c:pt>
                <c:pt idx="7">
                  <c:v>19.05</c:v>
                </c:pt>
              </c:numCache>
            </c:numRef>
          </c:xVal>
          <c:yVal>
            <c:numRef>
              <c:f>[0]!y_s3_c12</c:f>
              <c:numCache>
                <c:formatCode>General</c:formatCode>
                <c:ptCount val="8"/>
                <c:pt idx="0">
                  <c:v>7.2324444444444396</c:v>
                </c:pt>
                <c:pt idx="1">
                  <c:v>9.9531111111111095</c:v>
                </c:pt>
                <c:pt idx="2">
                  <c:v>10.283111111111101</c:v>
                </c:pt>
                <c:pt idx="3">
                  <c:v>10.3857777777778</c:v>
                </c:pt>
                <c:pt idx="4">
                  <c:v>10.283111111111101</c:v>
                </c:pt>
                <c:pt idx="5">
                  <c:v>10.151111111111099</c:v>
                </c:pt>
                <c:pt idx="6">
                  <c:v>9.5864444444444405</c:v>
                </c:pt>
                <c:pt idx="7">
                  <c:v>7.1664444444444397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4192"/>
        <c:axId val="180665728"/>
      </c:scatterChart>
      <c:valAx>
        <c:axId val="18066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665728"/>
        <c:crosses val="autoZero"/>
        <c:crossBetween val="midCat"/>
      </c:valAx>
      <c:valAx>
        <c:axId val="180665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664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[0]!x_s3_c11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[0]!y_s3_c11</c:f>
              <c:numCache>
                <c:formatCode>General</c:formatCode>
                <c:ptCount val="7"/>
                <c:pt idx="0">
                  <c:v>9.8871111111111105</c:v>
                </c:pt>
                <c:pt idx="1">
                  <c:v>10.283111111111101</c:v>
                </c:pt>
                <c:pt idx="2">
                  <c:v>10.4151111111111</c:v>
                </c:pt>
                <c:pt idx="3">
                  <c:v>10.3857777777778</c:v>
                </c:pt>
                <c:pt idx="4">
                  <c:v>10.253777777777801</c:v>
                </c:pt>
                <c:pt idx="5">
                  <c:v>9.9897777777777694</c:v>
                </c:pt>
                <c:pt idx="6">
                  <c:v>8.09777777777777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03616"/>
        <c:axId val="180705152"/>
      </c:scatterChart>
      <c:valAx>
        <c:axId val="18070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705152"/>
        <c:crosses val="autoZero"/>
        <c:crossBetween val="midCat"/>
      </c:valAx>
      <c:valAx>
        <c:axId val="180705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7036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[0]!x_s3_c10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[0]!y_s3_c10</c:f>
              <c:numCache>
                <c:formatCode>General</c:formatCode>
                <c:ptCount val="7"/>
                <c:pt idx="0">
                  <c:v>9.4911111111111097</c:v>
                </c:pt>
                <c:pt idx="1">
                  <c:v>10.253777777777801</c:v>
                </c:pt>
                <c:pt idx="2">
                  <c:v>10.3491111111111</c:v>
                </c:pt>
                <c:pt idx="3">
                  <c:v>10.3197777777778</c:v>
                </c:pt>
                <c:pt idx="4">
                  <c:v>10.253777777777801</c:v>
                </c:pt>
                <c:pt idx="5">
                  <c:v>10.0557777777778</c:v>
                </c:pt>
                <c:pt idx="6">
                  <c:v>8.5964444444444403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26016"/>
        <c:axId val="181141504"/>
      </c:scatterChart>
      <c:valAx>
        <c:axId val="18072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141504"/>
        <c:crosses val="autoZero"/>
        <c:crossBetween val="midCat"/>
      </c:valAx>
      <c:valAx>
        <c:axId val="181141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7260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[0]!x_s3_c9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[0]!y_s3_c9</c:f>
              <c:numCache>
                <c:formatCode>General</c:formatCode>
                <c:ptCount val="7"/>
                <c:pt idx="0">
                  <c:v>9.4544444444444409</c:v>
                </c:pt>
                <c:pt idx="1">
                  <c:v>10.253777777777801</c:v>
                </c:pt>
                <c:pt idx="2">
                  <c:v>10.3857777777778</c:v>
                </c:pt>
                <c:pt idx="3">
                  <c:v>10.3491111111111</c:v>
                </c:pt>
                <c:pt idx="4">
                  <c:v>10.3197777777778</c:v>
                </c:pt>
                <c:pt idx="5">
                  <c:v>10.121777777777799</c:v>
                </c:pt>
                <c:pt idx="6">
                  <c:v>8.9557777777777705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78368"/>
        <c:axId val="181179904"/>
      </c:scatterChart>
      <c:valAx>
        <c:axId val="18117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179904"/>
        <c:crosses val="autoZero"/>
        <c:crossBetween val="midCat"/>
      </c:valAx>
      <c:valAx>
        <c:axId val="1811799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1783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[0]!x_s3_c8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[0]!y_s3_c8</c:f>
              <c:numCache>
                <c:formatCode>General</c:formatCode>
                <c:ptCount val="7"/>
                <c:pt idx="0">
                  <c:v>9.0877777777777702</c:v>
                </c:pt>
                <c:pt idx="1">
                  <c:v>10.2171111111111</c:v>
                </c:pt>
                <c:pt idx="2">
                  <c:v>10.3857777777778</c:v>
                </c:pt>
                <c:pt idx="3">
                  <c:v>10.3857777777778</c:v>
                </c:pt>
                <c:pt idx="4">
                  <c:v>10.283111111111101</c:v>
                </c:pt>
                <c:pt idx="5">
                  <c:v>10.0557777777778</c:v>
                </c:pt>
                <c:pt idx="6">
                  <c:v>8.7577777777777701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08960"/>
        <c:axId val="181210496"/>
      </c:scatterChart>
      <c:valAx>
        <c:axId val="18120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210496"/>
        <c:crosses val="autoZero"/>
        <c:crossBetween val="midCat"/>
      </c:valAx>
      <c:valAx>
        <c:axId val="181210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2089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[0]!x_s3_c7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[0]!y_s3_c7</c:f>
              <c:numCache>
                <c:formatCode>General</c:formatCode>
                <c:ptCount val="7"/>
                <c:pt idx="0">
                  <c:v>9.1537777777777691</c:v>
                </c:pt>
                <c:pt idx="1">
                  <c:v>10.2171111111111</c:v>
                </c:pt>
                <c:pt idx="2">
                  <c:v>10.451777777777799</c:v>
                </c:pt>
                <c:pt idx="3">
                  <c:v>10.481111111111099</c:v>
                </c:pt>
                <c:pt idx="4">
                  <c:v>10.4151111111111</c:v>
                </c:pt>
                <c:pt idx="5">
                  <c:v>10.2171111111111</c:v>
                </c:pt>
                <c:pt idx="6">
                  <c:v>9.2931111111111093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31616"/>
        <c:axId val="181233152"/>
      </c:scatterChart>
      <c:valAx>
        <c:axId val="1812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233152"/>
        <c:crosses val="autoZero"/>
        <c:crossBetween val="midCat"/>
      </c:valAx>
      <c:valAx>
        <c:axId val="181233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2316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[0]!x_s3_c6</c:f>
              <c:numCache>
                <c:formatCode>General</c:formatCode>
                <c:ptCount val="7"/>
                <c:pt idx="0">
                  <c:v>16.95</c:v>
                </c:pt>
                <c:pt idx="1">
                  <c:v>17.3</c:v>
                </c:pt>
                <c:pt idx="2">
                  <c:v>17.649999999999999</c:v>
                </c:pt>
                <c:pt idx="3">
                  <c:v>18</c:v>
                </c:pt>
                <c:pt idx="4">
                  <c:v>18.350000000000001</c:v>
                </c:pt>
                <c:pt idx="5">
                  <c:v>18.7</c:v>
                </c:pt>
                <c:pt idx="6">
                  <c:v>19.05</c:v>
                </c:pt>
              </c:numCache>
            </c:numRef>
          </c:xVal>
          <c:yVal>
            <c:numRef>
              <c:f>[0]!y_s3_c6</c:f>
              <c:numCache>
                <c:formatCode>General</c:formatCode>
                <c:ptCount val="7"/>
                <c:pt idx="0">
                  <c:v>9.1244444444444408</c:v>
                </c:pt>
                <c:pt idx="1">
                  <c:v>10.253777777777801</c:v>
                </c:pt>
                <c:pt idx="2">
                  <c:v>10.5177777777778</c:v>
                </c:pt>
                <c:pt idx="3">
                  <c:v>10.5177777777778</c:v>
                </c:pt>
                <c:pt idx="4">
                  <c:v>10.4151111111111</c:v>
                </c:pt>
                <c:pt idx="5">
                  <c:v>10.283111111111101</c:v>
                </c:pt>
                <c:pt idx="6">
                  <c:v>9.3884444444444402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6304"/>
        <c:axId val="181267840"/>
      </c:scatterChart>
      <c:valAx>
        <c:axId val="18126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267840"/>
        <c:crosses val="autoZero"/>
        <c:crossBetween val="midCat"/>
      </c:valAx>
      <c:valAx>
        <c:axId val="1812678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266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[0]!x_s3_c5</c:f>
              <c:numCache>
                <c:formatCode>General</c:formatCode>
                <c:ptCount val="6"/>
                <c:pt idx="0">
                  <c:v>17.3</c:v>
                </c:pt>
                <c:pt idx="1">
                  <c:v>17.649999999999999</c:v>
                </c:pt>
                <c:pt idx="2">
                  <c:v>18</c:v>
                </c:pt>
                <c:pt idx="3">
                  <c:v>18.350000000000001</c:v>
                </c:pt>
                <c:pt idx="4">
                  <c:v>18.7</c:v>
                </c:pt>
                <c:pt idx="5">
                  <c:v>19.05</c:v>
                </c:pt>
              </c:numCache>
            </c:numRef>
          </c:xVal>
          <c:yVal>
            <c:numRef>
              <c:f>[0]!y_s3_c5</c:f>
              <c:numCache>
                <c:formatCode>General</c:formatCode>
                <c:ptCount val="6"/>
                <c:pt idx="0">
                  <c:v>10.151111111111099</c:v>
                </c:pt>
                <c:pt idx="1">
                  <c:v>10.451777777777799</c:v>
                </c:pt>
                <c:pt idx="2">
                  <c:v>10.5177777777778</c:v>
                </c:pt>
                <c:pt idx="3">
                  <c:v>10.4151111111111</c:v>
                </c:pt>
                <c:pt idx="4">
                  <c:v>10.3197777777778</c:v>
                </c:pt>
                <c:pt idx="5">
                  <c:v>9.7184444444444402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05344"/>
        <c:axId val="181306880"/>
      </c:scatterChart>
      <c:valAx>
        <c:axId val="18130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306880"/>
        <c:crosses val="autoZero"/>
        <c:crossBetween val="midCat"/>
      </c:valAx>
      <c:valAx>
        <c:axId val="1813068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3053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[0]!x_s3_c4</c:f>
              <c:numCache>
                <c:formatCode>General</c:formatCode>
                <c:ptCount val="6"/>
                <c:pt idx="0">
                  <c:v>17.3</c:v>
                </c:pt>
                <c:pt idx="1">
                  <c:v>17.649999999999999</c:v>
                </c:pt>
                <c:pt idx="2">
                  <c:v>18</c:v>
                </c:pt>
                <c:pt idx="3">
                  <c:v>18.350000000000001</c:v>
                </c:pt>
                <c:pt idx="4">
                  <c:v>18.7</c:v>
                </c:pt>
                <c:pt idx="5">
                  <c:v>19.05</c:v>
                </c:pt>
              </c:numCache>
            </c:numRef>
          </c:xVal>
          <c:yVal>
            <c:numRef>
              <c:f>[0]!y_s3_c4</c:f>
              <c:numCache>
                <c:formatCode>General</c:formatCode>
                <c:ptCount val="6"/>
                <c:pt idx="0">
                  <c:v>9.9237777777777705</c:v>
                </c:pt>
                <c:pt idx="1">
                  <c:v>10.283111111111101</c:v>
                </c:pt>
                <c:pt idx="2">
                  <c:v>10.3491111111111</c:v>
                </c:pt>
                <c:pt idx="3">
                  <c:v>10.283111111111101</c:v>
                </c:pt>
                <c:pt idx="4">
                  <c:v>10.2171111111111</c:v>
                </c:pt>
                <c:pt idx="5">
                  <c:v>9.4251111111111108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27744"/>
        <c:axId val="181329280"/>
      </c:scatterChart>
      <c:valAx>
        <c:axId val="18132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329280"/>
        <c:crosses val="autoZero"/>
        <c:crossBetween val="midCat"/>
      </c:valAx>
      <c:valAx>
        <c:axId val="1813292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3277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[0]!x_s3_c3</c:f>
              <c:numCache>
                <c:formatCode>General</c:formatCode>
                <c:ptCount val="7"/>
                <c:pt idx="0">
                  <c:v>17.3</c:v>
                </c:pt>
                <c:pt idx="1">
                  <c:v>17.649999999999999</c:v>
                </c:pt>
                <c:pt idx="2">
                  <c:v>18</c:v>
                </c:pt>
                <c:pt idx="3">
                  <c:v>18.350000000000001</c:v>
                </c:pt>
                <c:pt idx="4">
                  <c:v>18.7</c:v>
                </c:pt>
                <c:pt idx="5">
                  <c:v>19.05</c:v>
                </c:pt>
                <c:pt idx="6">
                  <c:v>19.399999999999999</c:v>
                </c:pt>
              </c:numCache>
            </c:numRef>
          </c:xVal>
          <c:yVal>
            <c:numRef>
              <c:f>[0]!y_s3_c3</c:f>
              <c:numCache>
                <c:formatCode>General</c:formatCode>
                <c:ptCount val="7"/>
                <c:pt idx="0">
                  <c:v>9.8504444444444399</c:v>
                </c:pt>
                <c:pt idx="1">
                  <c:v>10.283111111111101</c:v>
                </c:pt>
                <c:pt idx="2">
                  <c:v>10.3491111111111</c:v>
                </c:pt>
                <c:pt idx="3">
                  <c:v>10.3197777777778</c:v>
                </c:pt>
                <c:pt idx="4">
                  <c:v>10.253777777777801</c:v>
                </c:pt>
                <c:pt idx="5">
                  <c:v>9.8504444444444399</c:v>
                </c:pt>
                <c:pt idx="6">
                  <c:v>7.9291111111111103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02656"/>
        <c:axId val="181704192"/>
      </c:scatterChart>
      <c:valAx>
        <c:axId val="1817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704192"/>
        <c:crosses val="autoZero"/>
        <c:crossBetween val="midCat"/>
      </c:valAx>
      <c:valAx>
        <c:axId val="1817041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1702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[0]!x_s3_c2</c:f>
              <c:numCache>
                <c:formatCode>General</c:formatCode>
                <c:ptCount val="7"/>
                <c:pt idx="0">
                  <c:v>17.3</c:v>
                </c:pt>
                <c:pt idx="1">
                  <c:v>17.649999999999999</c:v>
                </c:pt>
                <c:pt idx="2">
                  <c:v>18</c:v>
                </c:pt>
                <c:pt idx="3">
                  <c:v>18.350000000000001</c:v>
                </c:pt>
                <c:pt idx="4">
                  <c:v>18.7</c:v>
                </c:pt>
                <c:pt idx="5">
                  <c:v>19.05</c:v>
                </c:pt>
                <c:pt idx="6">
                  <c:v>19.399999999999999</c:v>
                </c:pt>
              </c:numCache>
            </c:numRef>
          </c:xVal>
          <c:yVal>
            <c:numRef>
              <c:f>[0]!y_s3_c2</c:f>
              <c:numCache>
                <c:formatCode>General</c:formatCode>
                <c:ptCount val="7"/>
                <c:pt idx="0">
                  <c:v>9.7551111111111108</c:v>
                </c:pt>
                <c:pt idx="1">
                  <c:v>10.253777777777801</c:v>
                </c:pt>
                <c:pt idx="2">
                  <c:v>10.3491111111111</c:v>
                </c:pt>
                <c:pt idx="3">
                  <c:v>10.3197777777778</c:v>
                </c:pt>
                <c:pt idx="4">
                  <c:v>10.2171111111111</c:v>
                </c:pt>
                <c:pt idx="5">
                  <c:v>9.7844444444444392</c:v>
                </c:pt>
                <c:pt idx="6">
                  <c:v>7.6651111111111101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3600"/>
        <c:axId val="183115136"/>
      </c:scatterChart>
      <c:valAx>
        <c:axId val="18311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115136"/>
        <c:crosses val="autoZero"/>
        <c:crossBetween val="midCat"/>
      </c:valAx>
      <c:valAx>
        <c:axId val="1831151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31136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[0]!x_s3_c1</c:f>
              <c:numCache>
                <c:formatCode>General</c:formatCode>
                <c:ptCount val="7"/>
                <c:pt idx="0">
                  <c:v>17.3</c:v>
                </c:pt>
                <c:pt idx="1">
                  <c:v>17.649999999999999</c:v>
                </c:pt>
                <c:pt idx="2">
                  <c:v>18</c:v>
                </c:pt>
                <c:pt idx="3">
                  <c:v>18.350000000000001</c:v>
                </c:pt>
                <c:pt idx="4">
                  <c:v>18.7</c:v>
                </c:pt>
                <c:pt idx="5">
                  <c:v>19.05</c:v>
                </c:pt>
                <c:pt idx="6">
                  <c:v>19.399999999999999</c:v>
                </c:pt>
              </c:numCache>
            </c:numRef>
          </c:xVal>
          <c:yVal>
            <c:numRef>
              <c:f>[0]!y_s3_c1</c:f>
              <c:numCache>
                <c:formatCode>General</c:formatCode>
                <c:ptCount val="7"/>
                <c:pt idx="0">
                  <c:v>9.4911111111111097</c:v>
                </c:pt>
                <c:pt idx="1">
                  <c:v>10.1877777777778</c:v>
                </c:pt>
                <c:pt idx="2">
                  <c:v>10.3491111111111</c:v>
                </c:pt>
                <c:pt idx="3">
                  <c:v>10.283111111111101</c:v>
                </c:pt>
                <c:pt idx="4">
                  <c:v>10.2171111111111</c:v>
                </c:pt>
                <c:pt idx="5">
                  <c:v>9.8211111111111098</c:v>
                </c:pt>
                <c:pt idx="6">
                  <c:v>6.5724444444444403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0352"/>
        <c:axId val="183141888"/>
      </c:scatterChart>
      <c:valAx>
        <c:axId val="18314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141888"/>
        <c:crosses val="autoZero"/>
        <c:crossBetween val="midCat"/>
      </c:valAx>
      <c:valAx>
        <c:axId val="1831418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31403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3'!$S$3:$S$14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3'!$R$3:$R$14</c:f>
              <c:numCache>
                <c:formatCode>General</c:formatCode>
                <c:ptCount val="12"/>
                <c:pt idx="0">
                  <c:v>17.802933145788522</c:v>
                </c:pt>
                <c:pt idx="1">
                  <c:v>17.764343379978481</c:v>
                </c:pt>
                <c:pt idx="2">
                  <c:v>17.868217391304359</c:v>
                </c:pt>
                <c:pt idx="3">
                  <c:v>17.916362763915554</c:v>
                </c:pt>
                <c:pt idx="4">
                  <c:v>17.948118279569904</c:v>
                </c:pt>
                <c:pt idx="5">
                  <c:v>18.016288782816236</c:v>
                </c:pt>
                <c:pt idx="6">
                  <c:v>18.031912991656739</c:v>
                </c:pt>
                <c:pt idx="7">
                  <c:v>18.030419630156491</c:v>
                </c:pt>
                <c:pt idx="8">
                  <c:v>18.052152858809816</c:v>
                </c:pt>
                <c:pt idx="9">
                  <c:v>18.101201550387611</c:v>
                </c:pt>
                <c:pt idx="10">
                  <c:v>18.107263279445732</c:v>
                </c:pt>
                <c:pt idx="11">
                  <c:v>18.1256351791531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68384"/>
        <c:axId val="179840128"/>
      </c:scatterChart>
      <c:valAx>
        <c:axId val="18316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840128"/>
        <c:crosses val="autoZero"/>
        <c:crossBetween val="midCat"/>
      </c:valAx>
      <c:valAx>
        <c:axId val="1798401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31683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[0]!x_s4_c12</c:f>
              <c:numCache>
                <c:formatCode>General</c:formatCode>
                <c:ptCount val="9"/>
                <c:pt idx="0">
                  <c:v>25.25</c:v>
                </c:pt>
                <c:pt idx="1">
                  <c:v>25.6</c:v>
                </c:pt>
                <c:pt idx="2">
                  <c:v>25.95</c:v>
                </c:pt>
                <c:pt idx="3">
                  <c:v>26.3</c:v>
                </c:pt>
                <c:pt idx="4">
                  <c:v>26.65</c:v>
                </c:pt>
                <c:pt idx="5">
                  <c:v>27</c:v>
                </c:pt>
                <c:pt idx="6">
                  <c:v>27.35</c:v>
                </c:pt>
                <c:pt idx="7">
                  <c:v>27.7</c:v>
                </c:pt>
                <c:pt idx="8">
                  <c:v>28.05</c:v>
                </c:pt>
              </c:numCache>
            </c:numRef>
          </c:xVal>
          <c:yVal>
            <c:numRef>
              <c:f>[0]!y_s4_c12</c:f>
              <c:numCache>
                <c:formatCode>General</c:formatCode>
                <c:ptCount val="9"/>
                <c:pt idx="0">
                  <c:v>6.9546515505168403</c:v>
                </c:pt>
                <c:pt idx="1">
                  <c:v>9.4781593864621598</c:v>
                </c:pt>
                <c:pt idx="2">
                  <c:v>10.380460153384499</c:v>
                </c:pt>
                <c:pt idx="3">
                  <c:v>10.541847282427501</c:v>
                </c:pt>
                <c:pt idx="4">
                  <c:v>10.578526175391801</c:v>
                </c:pt>
                <c:pt idx="5">
                  <c:v>10.512504168055999</c:v>
                </c:pt>
                <c:pt idx="6">
                  <c:v>10.3437812604201</c:v>
                </c:pt>
                <c:pt idx="7">
                  <c:v>9.8156052017339199</c:v>
                </c:pt>
                <c:pt idx="8">
                  <c:v>8.0183394464821696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69920"/>
        <c:axId val="177171456"/>
      </c:scatterChart>
      <c:valAx>
        <c:axId val="17716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171456"/>
        <c:crosses val="autoZero"/>
        <c:crossBetween val="midCat"/>
      </c:valAx>
      <c:valAx>
        <c:axId val="1771714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1699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[0]!x_s4_c11</c:f>
              <c:numCache>
                <c:formatCode>General</c:formatCode>
                <c:ptCount val="8"/>
                <c:pt idx="0">
                  <c:v>25.6</c:v>
                </c:pt>
                <c:pt idx="1">
                  <c:v>25.95</c:v>
                </c:pt>
                <c:pt idx="2">
                  <c:v>26.3</c:v>
                </c:pt>
                <c:pt idx="3">
                  <c:v>26.65</c:v>
                </c:pt>
                <c:pt idx="4">
                  <c:v>27</c:v>
                </c:pt>
                <c:pt idx="5">
                  <c:v>27.35</c:v>
                </c:pt>
                <c:pt idx="6">
                  <c:v>27.7</c:v>
                </c:pt>
                <c:pt idx="7">
                  <c:v>28.05</c:v>
                </c:pt>
              </c:numCache>
            </c:numRef>
          </c:xVal>
          <c:yVal>
            <c:numRef>
              <c:f>[0]!y_s4_c11</c:f>
              <c:numCache>
                <c:formatCode>General</c:formatCode>
                <c:ptCount val="8"/>
                <c:pt idx="0">
                  <c:v>9.2800933644548191</c:v>
                </c:pt>
                <c:pt idx="1">
                  <c:v>10.277759253084399</c:v>
                </c:pt>
                <c:pt idx="2">
                  <c:v>10.475825275091699</c:v>
                </c:pt>
                <c:pt idx="3">
                  <c:v>10.541847282427501</c:v>
                </c:pt>
                <c:pt idx="4">
                  <c:v>10.475825275091699</c:v>
                </c:pt>
                <c:pt idx="5">
                  <c:v>10.3437812604201</c:v>
                </c:pt>
                <c:pt idx="6">
                  <c:v>10.0136712237413</c:v>
                </c:pt>
                <c:pt idx="7">
                  <c:v>8.5538512837612597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17536"/>
        <c:axId val="177219072"/>
      </c:scatterChart>
      <c:valAx>
        <c:axId val="17721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219072"/>
        <c:crosses val="autoZero"/>
        <c:crossBetween val="midCat"/>
      </c:valAx>
      <c:valAx>
        <c:axId val="1772190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217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[0]!x_s4_c10</c:f>
              <c:numCache>
                <c:formatCode>General</c:formatCode>
                <c:ptCount val="7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</c:numCache>
            </c:numRef>
          </c:xVal>
          <c:yVal>
            <c:numRef>
              <c:f>[0]!y_s4_c10</c:f>
              <c:numCache>
                <c:formatCode>General</c:formatCode>
                <c:ptCount val="7"/>
                <c:pt idx="0">
                  <c:v>10.1090363454485</c:v>
                </c:pt>
                <c:pt idx="1">
                  <c:v>10.446482160720199</c:v>
                </c:pt>
                <c:pt idx="2">
                  <c:v>10.541847282427501</c:v>
                </c:pt>
                <c:pt idx="3">
                  <c:v>10.475825275091699</c:v>
                </c:pt>
                <c:pt idx="4">
                  <c:v>10.314438146048699</c:v>
                </c:pt>
                <c:pt idx="5">
                  <c:v>10.0136712237413</c:v>
                </c:pt>
                <c:pt idx="6">
                  <c:v>8.5831943981327203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4032"/>
        <c:axId val="177245568"/>
      </c:scatterChart>
      <c:valAx>
        <c:axId val="17724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245568"/>
        <c:crosses val="autoZero"/>
        <c:crossBetween val="midCat"/>
      </c:valAx>
      <c:valAx>
        <c:axId val="1772455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244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[0]!x_s4_c9</c:f>
              <c:numCache>
                <c:formatCode>General</c:formatCode>
                <c:ptCount val="7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</c:numCache>
            </c:numRef>
          </c:xVal>
          <c:yVal>
            <c:numRef>
              <c:f>[0]!y_s4_c9</c:f>
              <c:numCache>
                <c:formatCode>General</c:formatCode>
                <c:ptCount val="7"/>
                <c:pt idx="0">
                  <c:v>10.1090363454485</c:v>
                </c:pt>
                <c:pt idx="1">
                  <c:v>10.409803267755899</c:v>
                </c:pt>
                <c:pt idx="2">
                  <c:v>10.578526175391801</c:v>
                </c:pt>
                <c:pt idx="3">
                  <c:v>10.475825275091699</c:v>
                </c:pt>
                <c:pt idx="4">
                  <c:v>10.446482160720199</c:v>
                </c:pt>
                <c:pt idx="5">
                  <c:v>10.1090363454485</c:v>
                </c:pt>
                <c:pt idx="6">
                  <c:v>8.8472824274758306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1952"/>
        <c:axId val="177271936"/>
      </c:scatterChart>
      <c:valAx>
        <c:axId val="1772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271936"/>
        <c:crosses val="autoZero"/>
        <c:crossBetween val="midCat"/>
      </c:valAx>
      <c:valAx>
        <c:axId val="177271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2619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[0]!x_s4_c8</c:f>
              <c:numCache>
                <c:formatCode>General</c:formatCode>
                <c:ptCount val="7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</c:numCache>
            </c:numRef>
          </c:xVal>
          <c:yVal>
            <c:numRef>
              <c:f>[0]!y_s4_c8</c:f>
              <c:numCache>
                <c:formatCode>General</c:formatCode>
                <c:ptCount val="7"/>
                <c:pt idx="0">
                  <c:v>7.3214404801600601</c:v>
                </c:pt>
                <c:pt idx="1">
                  <c:v>10.446482160720199</c:v>
                </c:pt>
                <c:pt idx="2">
                  <c:v>10.475825275091699</c:v>
                </c:pt>
                <c:pt idx="3">
                  <c:v>10.446482160720199</c:v>
                </c:pt>
                <c:pt idx="4">
                  <c:v>10.380460153384499</c:v>
                </c:pt>
                <c:pt idx="5">
                  <c:v>10.079693231077</c:v>
                </c:pt>
                <c:pt idx="6">
                  <c:v>8.9133044348116108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05088"/>
        <c:axId val="177306624"/>
      </c:scatterChart>
      <c:valAx>
        <c:axId val="1773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306624"/>
        <c:crosses val="autoZero"/>
        <c:crossBetween val="midCat"/>
      </c:valAx>
      <c:valAx>
        <c:axId val="177306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3050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[0]!x_s4_c7</c:f>
              <c:numCache>
                <c:formatCode>General</c:formatCode>
                <c:ptCount val="7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</c:numCache>
            </c:numRef>
          </c:xVal>
          <c:yVal>
            <c:numRef>
              <c:f>[0]!y_s4_c7</c:f>
              <c:numCache>
                <c:formatCode>General</c:formatCode>
                <c:ptCount val="7"/>
                <c:pt idx="0">
                  <c:v>9.7129043014338201</c:v>
                </c:pt>
                <c:pt idx="1">
                  <c:v>10.409803267755899</c:v>
                </c:pt>
                <c:pt idx="2">
                  <c:v>10.578526175391801</c:v>
                </c:pt>
                <c:pt idx="3">
                  <c:v>10.578526175391801</c:v>
                </c:pt>
                <c:pt idx="4">
                  <c:v>10.475825275091699</c:v>
                </c:pt>
                <c:pt idx="5">
                  <c:v>10.277759253084399</c:v>
                </c:pt>
                <c:pt idx="6">
                  <c:v>9.1847282427475907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27488"/>
        <c:axId val="177337472"/>
      </c:scatterChart>
      <c:valAx>
        <c:axId val="17732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337472"/>
        <c:crosses val="autoZero"/>
        <c:crossBetween val="midCat"/>
      </c:valAx>
      <c:valAx>
        <c:axId val="1773374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3274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[0]!x_s4_c6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[0]!y_s4_c6</c:f>
              <c:numCache>
                <c:formatCode>General</c:formatCode>
                <c:ptCount val="8"/>
                <c:pt idx="0">
                  <c:v>9.6468822940980399</c:v>
                </c:pt>
                <c:pt idx="1">
                  <c:v>10.380460153384499</c:v>
                </c:pt>
                <c:pt idx="2">
                  <c:v>10.6078692897633</c:v>
                </c:pt>
                <c:pt idx="3">
                  <c:v>10.541847282427501</c:v>
                </c:pt>
                <c:pt idx="4">
                  <c:v>10.512504168055999</c:v>
                </c:pt>
                <c:pt idx="5">
                  <c:v>10.2484161387129</c:v>
                </c:pt>
                <c:pt idx="6">
                  <c:v>9.6102034011337203</c:v>
                </c:pt>
                <c:pt idx="7">
                  <c:v>7.3507835945315199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62432"/>
        <c:axId val="177363968"/>
      </c:scatterChart>
      <c:valAx>
        <c:axId val="17736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363968"/>
        <c:crosses val="autoZero"/>
        <c:crossBetween val="midCat"/>
      </c:valAx>
      <c:valAx>
        <c:axId val="1773639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3624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[0]!x_s4_c5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[0]!y_s4_c5</c:f>
              <c:numCache>
                <c:formatCode>General</c:formatCode>
                <c:ptCount val="8"/>
                <c:pt idx="0">
                  <c:v>9.2507502500833692</c:v>
                </c:pt>
                <c:pt idx="1">
                  <c:v>10.314438146048699</c:v>
                </c:pt>
                <c:pt idx="2">
                  <c:v>10.475825275091699</c:v>
                </c:pt>
                <c:pt idx="3">
                  <c:v>10.512504168055999</c:v>
                </c:pt>
                <c:pt idx="4">
                  <c:v>10.446482160720199</c:v>
                </c:pt>
                <c:pt idx="5">
                  <c:v>10.2117372457486</c:v>
                </c:pt>
                <c:pt idx="6">
                  <c:v>9.4781593864621598</c:v>
                </c:pt>
                <c:pt idx="7">
                  <c:v>7.6882294098032702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05312"/>
        <c:axId val="179971200"/>
      </c:scatterChart>
      <c:valAx>
        <c:axId val="17740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971200"/>
        <c:crosses val="autoZero"/>
        <c:crossBetween val="midCat"/>
      </c:valAx>
      <c:valAx>
        <c:axId val="1799712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77405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[0]!x_s4_c4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[0]!y_s4_c4</c:f>
              <c:numCache>
                <c:formatCode>General</c:formatCode>
                <c:ptCount val="8"/>
                <c:pt idx="0">
                  <c:v>9.1480493497832693</c:v>
                </c:pt>
                <c:pt idx="1">
                  <c:v>10.2484161387129</c:v>
                </c:pt>
                <c:pt idx="2">
                  <c:v>10.446482160720199</c:v>
                </c:pt>
                <c:pt idx="3">
                  <c:v>10.512504168055999</c:v>
                </c:pt>
                <c:pt idx="4">
                  <c:v>10.380460153384499</c:v>
                </c:pt>
                <c:pt idx="5">
                  <c:v>10.2484161387129</c:v>
                </c:pt>
                <c:pt idx="6">
                  <c:v>9.5148382794264794</c:v>
                </c:pt>
                <c:pt idx="7">
                  <c:v>7.9889963321107098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04352"/>
        <c:axId val="180005888"/>
      </c:scatterChart>
      <c:valAx>
        <c:axId val="18000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005888"/>
        <c:crosses val="autoZero"/>
        <c:crossBetween val="midCat"/>
      </c:valAx>
      <c:valAx>
        <c:axId val="1800058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0043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[0]!x_s4_c3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[0]!y_s4_c3</c:f>
              <c:numCache>
                <c:formatCode>General</c:formatCode>
                <c:ptCount val="8"/>
                <c:pt idx="0">
                  <c:v>8.81793931310437</c:v>
                </c:pt>
                <c:pt idx="1">
                  <c:v>10.277759253084399</c:v>
                </c:pt>
                <c:pt idx="2">
                  <c:v>10.512504168055999</c:v>
                </c:pt>
                <c:pt idx="3">
                  <c:v>10.541847282427501</c:v>
                </c:pt>
                <c:pt idx="4">
                  <c:v>10.409803267755899</c:v>
                </c:pt>
                <c:pt idx="5">
                  <c:v>10.314438146048699</c:v>
                </c:pt>
                <c:pt idx="6">
                  <c:v>9.8449483161053699</c:v>
                </c:pt>
                <c:pt idx="7">
                  <c:v>8.2164054684894996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39040"/>
        <c:axId val="180040832"/>
      </c:scatterChart>
      <c:valAx>
        <c:axId val="18003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040832"/>
        <c:crosses val="autoZero"/>
        <c:crossBetween val="midCat"/>
      </c:valAx>
      <c:valAx>
        <c:axId val="1800408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039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[0]!x_s4_c2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[0]!y_s4_c2</c:f>
              <c:numCache>
                <c:formatCode>General</c:formatCode>
                <c:ptCount val="8"/>
                <c:pt idx="0">
                  <c:v>9.1847282427475907</c:v>
                </c:pt>
                <c:pt idx="1">
                  <c:v>10.2484161387129</c:v>
                </c:pt>
                <c:pt idx="2">
                  <c:v>10.475825275091699</c:v>
                </c:pt>
                <c:pt idx="3">
                  <c:v>10.578526175391801</c:v>
                </c:pt>
                <c:pt idx="4">
                  <c:v>10.512504168055999</c:v>
                </c:pt>
                <c:pt idx="5">
                  <c:v>10.380460153384499</c:v>
                </c:pt>
                <c:pt idx="6">
                  <c:v>10.0136712237413</c:v>
                </c:pt>
                <c:pt idx="7">
                  <c:v>8.5171723907969401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69888"/>
        <c:axId val="180071424"/>
      </c:scatterChart>
      <c:valAx>
        <c:axId val="18006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071424"/>
        <c:crosses val="autoZero"/>
        <c:crossBetween val="midCat"/>
      </c:valAx>
      <c:valAx>
        <c:axId val="1800714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069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[0]!x_s4_c1</c:f>
              <c:numCache>
                <c:formatCode>General</c:formatCode>
                <c:ptCount val="8"/>
                <c:pt idx="0">
                  <c:v>25.95</c:v>
                </c:pt>
                <c:pt idx="1">
                  <c:v>26.3</c:v>
                </c:pt>
                <c:pt idx="2">
                  <c:v>26.65</c:v>
                </c:pt>
                <c:pt idx="3">
                  <c:v>27</c:v>
                </c:pt>
                <c:pt idx="4">
                  <c:v>27.35</c:v>
                </c:pt>
                <c:pt idx="5">
                  <c:v>27.7</c:v>
                </c:pt>
                <c:pt idx="6">
                  <c:v>28.05</c:v>
                </c:pt>
                <c:pt idx="7">
                  <c:v>28.4</c:v>
                </c:pt>
              </c:numCache>
            </c:numRef>
          </c:xVal>
          <c:yVal>
            <c:numRef>
              <c:f>[0]!y_s4_c1</c:f>
              <c:numCache>
                <c:formatCode>General</c:formatCode>
                <c:ptCount val="8"/>
                <c:pt idx="0">
                  <c:v>8.5831943981327203</c:v>
                </c:pt>
                <c:pt idx="1">
                  <c:v>10.175058352784299</c:v>
                </c:pt>
                <c:pt idx="2">
                  <c:v>10.409803267755899</c:v>
                </c:pt>
                <c:pt idx="3">
                  <c:v>10.512504168055999</c:v>
                </c:pt>
                <c:pt idx="4">
                  <c:v>10.475825275091699</c:v>
                </c:pt>
                <c:pt idx="5">
                  <c:v>10.314438146048699</c:v>
                </c:pt>
                <c:pt idx="6">
                  <c:v>10.0430143381127</c:v>
                </c:pt>
                <c:pt idx="7">
                  <c:v>8.9133044348116108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84096"/>
        <c:axId val="187647104"/>
      </c:scatterChart>
      <c:valAx>
        <c:axId val="18008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647104"/>
        <c:crosses val="autoZero"/>
        <c:crossBetween val="midCat"/>
      </c:valAx>
      <c:valAx>
        <c:axId val="1876471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00840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1043330110052033"/>
                  <c:y val="-6.5756604545034888E-2"/>
                </c:manualLayout>
              </c:layout>
              <c:numFmt formatCode="General" sourceLinked="0"/>
            </c:trendlineLbl>
          </c:trendline>
          <c:xVal>
            <c:numRef>
              <c:f>'Sensor 4'!$S$3:$S$14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4'!$R$3:$R$14</c:f>
              <c:numCache>
                <c:formatCode>General</c:formatCode>
                <c:ptCount val="12"/>
                <c:pt idx="0">
                  <c:v>26.726900129701679</c:v>
                </c:pt>
                <c:pt idx="1">
                  <c:v>26.71780104712041</c:v>
                </c:pt>
                <c:pt idx="2">
                  <c:v>26.729630246502357</c:v>
                </c:pt>
                <c:pt idx="3">
                  <c:v>26.767338129496412</c:v>
                </c:pt>
                <c:pt idx="4">
                  <c:v>27.089382911392413</c:v>
                </c:pt>
                <c:pt idx="5">
                  <c:v>26.906775700934595</c:v>
                </c:pt>
                <c:pt idx="6">
                  <c:v>26.919993646759853</c:v>
                </c:pt>
                <c:pt idx="7">
                  <c:v>26.978733264675597</c:v>
                </c:pt>
                <c:pt idx="8">
                  <c:v>27.011819797648347</c:v>
                </c:pt>
                <c:pt idx="9">
                  <c:v>27.085842105263158</c:v>
                </c:pt>
                <c:pt idx="10">
                  <c:v>27.084027991387277</c:v>
                </c:pt>
                <c:pt idx="11">
                  <c:v>27.194029738660262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72832"/>
        <c:axId val="187674624"/>
      </c:scatterChart>
      <c:valAx>
        <c:axId val="18767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674624"/>
        <c:crosses val="autoZero"/>
        <c:crossBetween val="midCat"/>
      </c:valAx>
      <c:valAx>
        <c:axId val="187674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7672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[0]!x_s5_c12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[0]!y_s5_c12</c:f>
              <c:numCache>
                <c:formatCode>General</c:formatCode>
                <c:ptCount val="7"/>
                <c:pt idx="0">
                  <c:v>9.8510732955177396</c:v>
                </c:pt>
                <c:pt idx="1">
                  <c:v>10.416305194083</c:v>
                </c:pt>
                <c:pt idx="2">
                  <c:v>10.519074630185701</c:v>
                </c:pt>
                <c:pt idx="3">
                  <c:v>10.548437326215099</c:v>
                </c:pt>
                <c:pt idx="4">
                  <c:v>10.482371260149</c:v>
                </c:pt>
                <c:pt idx="5">
                  <c:v>10.3502391280169</c:v>
                </c:pt>
                <c:pt idx="6">
                  <c:v>8.4563452341230096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8608"/>
        <c:axId val="189110144"/>
      </c:scatterChart>
      <c:valAx>
        <c:axId val="18910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110144"/>
        <c:crosses val="autoZero"/>
        <c:crossBetween val="midCat"/>
      </c:valAx>
      <c:valAx>
        <c:axId val="1891101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1086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[0]!x_s5_c11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[0]!y_s5_c11</c:f>
              <c:numCache>
                <c:formatCode>General</c:formatCode>
                <c:ptCount val="7"/>
                <c:pt idx="0">
                  <c:v>9.7850072294516792</c:v>
                </c:pt>
                <c:pt idx="1">
                  <c:v>10.416305194083</c:v>
                </c:pt>
                <c:pt idx="2">
                  <c:v>10.6145033922812</c:v>
                </c:pt>
                <c:pt idx="3">
                  <c:v>10.6145033922812</c:v>
                </c:pt>
                <c:pt idx="4">
                  <c:v>10.482371260149</c:v>
                </c:pt>
                <c:pt idx="5">
                  <c:v>10.3869424980536</c:v>
                </c:pt>
                <c:pt idx="6">
                  <c:v>9.5207429651874094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7408"/>
        <c:axId val="189223296"/>
      </c:scatterChart>
      <c:valAx>
        <c:axId val="1892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223296"/>
        <c:crosses val="autoZero"/>
        <c:crossBetween val="midCat"/>
      </c:valAx>
      <c:valAx>
        <c:axId val="1892232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2174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[0]!x_s5_c10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[0]!y_s5_c10</c:f>
              <c:numCache>
                <c:formatCode>General</c:formatCode>
                <c:ptCount val="7"/>
                <c:pt idx="0">
                  <c:v>9.1904126348570792</c:v>
                </c:pt>
                <c:pt idx="1">
                  <c:v>10.3208764319875</c:v>
                </c:pt>
                <c:pt idx="2">
                  <c:v>10.5851406962518</c:v>
                </c:pt>
                <c:pt idx="3">
                  <c:v>10.6145033922812</c:v>
                </c:pt>
                <c:pt idx="4">
                  <c:v>10.482371260149</c:v>
                </c:pt>
                <c:pt idx="5">
                  <c:v>10.3502391280169</c:v>
                </c:pt>
                <c:pt idx="6">
                  <c:v>9.49138026915805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40064"/>
        <c:axId val="189241600"/>
      </c:scatterChart>
      <c:valAx>
        <c:axId val="18924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241600"/>
        <c:crosses val="autoZero"/>
        <c:crossBetween val="midCat"/>
      </c:valAx>
      <c:valAx>
        <c:axId val="1892416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240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[0]!x_s5_c9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[0]!y_s5_c9</c:f>
              <c:numCache>
                <c:formatCode>General</c:formatCode>
                <c:ptCount val="7"/>
                <c:pt idx="0">
                  <c:v>8.7940162384606904</c:v>
                </c:pt>
                <c:pt idx="1">
                  <c:v>10.2548103659215</c:v>
                </c:pt>
                <c:pt idx="2">
                  <c:v>10.482371260149</c:v>
                </c:pt>
                <c:pt idx="3">
                  <c:v>10.5851406962518</c:v>
                </c:pt>
                <c:pt idx="4">
                  <c:v>10.548437326215099</c:v>
                </c:pt>
                <c:pt idx="5">
                  <c:v>10.416305194083</c:v>
                </c:pt>
                <c:pt idx="6">
                  <c:v>9.9171393615838106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888"/>
        <c:axId val="189149184"/>
      </c:scatterChart>
      <c:valAx>
        <c:axId val="18925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149184"/>
        <c:crosses val="autoZero"/>
        <c:crossBetween val="midCat"/>
      </c:valAx>
      <c:valAx>
        <c:axId val="189149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253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[0]!x_s5_c8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[0]!y_s5_c8</c:f>
              <c:numCache>
                <c:formatCode>General</c:formatCode>
                <c:ptCount val="7"/>
                <c:pt idx="0">
                  <c:v>7.2010899788677598</c:v>
                </c:pt>
                <c:pt idx="1">
                  <c:v>9.9832054276498692</c:v>
                </c:pt>
                <c:pt idx="2">
                  <c:v>10.453008564119701</c:v>
                </c:pt>
                <c:pt idx="3">
                  <c:v>10.548437326215099</c:v>
                </c:pt>
                <c:pt idx="4">
                  <c:v>10.482371260149</c:v>
                </c:pt>
                <c:pt idx="5">
                  <c:v>10.3502391280169</c:v>
                </c:pt>
                <c:pt idx="6">
                  <c:v>9.1904126348570792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78240"/>
        <c:axId val="189179776"/>
      </c:scatterChart>
      <c:valAx>
        <c:axId val="18917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179776"/>
        <c:crosses val="autoZero"/>
        <c:crossBetween val="midCat"/>
      </c:valAx>
      <c:valAx>
        <c:axId val="1891797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1782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[0]!x_s5_c7</c:f>
              <c:numCache>
                <c:formatCode>General</c:formatCode>
                <c:ptCount val="7"/>
                <c:pt idx="0">
                  <c:v>34.6</c:v>
                </c:pt>
                <c:pt idx="1">
                  <c:v>34.950000000000003</c:v>
                </c:pt>
                <c:pt idx="2">
                  <c:v>35.299999999999997</c:v>
                </c:pt>
                <c:pt idx="3">
                  <c:v>35.65</c:v>
                </c:pt>
                <c:pt idx="4">
                  <c:v>36</c:v>
                </c:pt>
                <c:pt idx="5">
                  <c:v>36.35</c:v>
                </c:pt>
                <c:pt idx="6">
                  <c:v>36.700000000000003</c:v>
                </c:pt>
              </c:numCache>
            </c:numRef>
          </c:xVal>
          <c:yVal>
            <c:numRef>
              <c:f>[0]!y_s5_c7</c:f>
              <c:numCache>
                <c:formatCode>General</c:formatCode>
                <c:ptCount val="7"/>
                <c:pt idx="0">
                  <c:v>7.0028917806695601</c:v>
                </c:pt>
                <c:pt idx="1">
                  <c:v>10.0199087976866</c:v>
                </c:pt>
                <c:pt idx="2">
                  <c:v>10.519074630185701</c:v>
                </c:pt>
                <c:pt idx="3">
                  <c:v>10.6145033922812</c:v>
                </c:pt>
                <c:pt idx="4">
                  <c:v>10.5851406962518</c:v>
                </c:pt>
                <c:pt idx="5">
                  <c:v>10.453008564119701</c:v>
                </c:pt>
                <c:pt idx="6">
                  <c:v>9.8877766655544495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0640"/>
        <c:axId val="192888832"/>
      </c:scatterChart>
      <c:valAx>
        <c:axId val="18920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888832"/>
        <c:crosses val="autoZero"/>
        <c:crossBetween val="midCat"/>
      </c:valAx>
      <c:valAx>
        <c:axId val="1928888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2006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[0]!x_s5_c6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[0]!y_s5_c6</c:f>
              <c:numCache>
                <c:formatCode>General</c:formatCode>
                <c:ptCount val="7"/>
                <c:pt idx="0">
                  <c:v>9.8217105994883802</c:v>
                </c:pt>
                <c:pt idx="1">
                  <c:v>10.519074630185701</c:v>
                </c:pt>
                <c:pt idx="2">
                  <c:v>10.6145033922812</c:v>
                </c:pt>
                <c:pt idx="3">
                  <c:v>10.548437326215099</c:v>
                </c:pt>
                <c:pt idx="4">
                  <c:v>10.548437326215099</c:v>
                </c:pt>
                <c:pt idx="5">
                  <c:v>10.1814036258481</c:v>
                </c:pt>
                <c:pt idx="6">
                  <c:v>7.8984540095651203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26080"/>
        <c:axId val="192927616"/>
      </c:scatterChart>
      <c:valAx>
        <c:axId val="19292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927616"/>
        <c:crosses val="autoZero"/>
        <c:crossBetween val="midCat"/>
      </c:valAx>
      <c:valAx>
        <c:axId val="1929276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29260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[0]!x_s5_c5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[0]!y_s5_c5</c:f>
              <c:numCache>
                <c:formatCode>General</c:formatCode>
                <c:ptCount val="7"/>
                <c:pt idx="0">
                  <c:v>9.5868090312534804</c:v>
                </c:pt>
                <c:pt idx="1">
                  <c:v>10.453008564119701</c:v>
                </c:pt>
                <c:pt idx="2">
                  <c:v>10.5851406962518</c:v>
                </c:pt>
                <c:pt idx="3">
                  <c:v>10.519074630185701</c:v>
                </c:pt>
                <c:pt idx="4">
                  <c:v>10.5851406962518</c:v>
                </c:pt>
                <c:pt idx="5">
                  <c:v>10.3869424980536</c:v>
                </c:pt>
                <c:pt idx="6">
                  <c:v>8.7573128684239805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22912"/>
        <c:axId val="193228800"/>
      </c:scatterChart>
      <c:valAx>
        <c:axId val="19322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228800"/>
        <c:crosses val="autoZero"/>
        <c:crossBetween val="midCat"/>
      </c:valAx>
      <c:valAx>
        <c:axId val="193228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2229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[0]!x_s5_c4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[0]!y_s5_c4</c:f>
              <c:numCache>
                <c:formatCode>General</c:formatCode>
                <c:ptCount val="7"/>
                <c:pt idx="0">
                  <c:v>9.3519074630185806</c:v>
                </c:pt>
                <c:pt idx="1">
                  <c:v>10.519074630185701</c:v>
                </c:pt>
                <c:pt idx="2">
                  <c:v>10.6145033922812</c:v>
                </c:pt>
                <c:pt idx="3">
                  <c:v>10.548437326215099</c:v>
                </c:pt>
                <c:pt idx="4">
                  <c:v>10.453008564119701</c:v>
                </c:pt>
                <c:pt idx="5">
                  <c:v>10.284173061950799</c:v>
                </c:pt>
                <c:pt idx="6">
                  <c:v>8.6251807362918491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53760"/>
        <c:axId val="193255296"/>
      </c:scatterChart>
      <c:valAx>
        <c:axId val="1932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255296"/>
        <c:crosses val="autoZero"/>
        <c:crossBetween val="midCat"/>
      </c:valAx>
      <c:valAx>
        <c:axId val="1932552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253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[0]!x_s5_c3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[0]!y_s5_c3</c:f>
              <c:numCache>
                <c:formatCode>General</c:formatCode>
                <c:ptCount val="7"/>
                <c:pt idx="0">
                  <c:v>9.4253142030919808</c:v>
                </c:pt>
                <c:pt idx="1">
                  <c:v>10.3869424980536</c:v>
                </c:pt>
                <c:pt idx="2">
                  <c:v>10.482371260149</c:v>
                </c:pt>
                <c:pt idx="3">
                  <c:v>10.548437326215099</c:v>
                </c:pt>
                <c:pt idx="4">
                  <c:v>10.453008564119701</c:v>
                </c:pt>
                <c:pt idx="5">
                  <c:v>10.3502391280169</c:v>
                </c:pt>
                <c:pt idx="6">
                  <c:v>9.2564787009231502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0256"/>
        <c:axId val="193282048"/>
      </c:scatterChart>
      <c:valAx>
        <c:axId val="19328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282048"/>
        <c:crosses val="autoZero"/>
        <c:crossBetween val="midCat"/>
      </c:valAx>
      <c:valAx>
        <c:axId val="1932820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280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[0]!x_s5_c2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[0]!y_s5_c2</c:f>
              <c:numCache>
                <c:formatCode>General</c:formatCode>
                <c:ptCount val="7"/>
                <c:pt idx="0">
                  <c:v>9.3519074630185806</c:v>
                </c:pt>
                <c:pt idx="1">
                  <c:v>10.3502391280169</c:v>
                </c:pt>
                <c:pt idx="2">
                  <c:v>10.453008564119701</c:v>
                </c:pt>
                <c:pt idx="3">
                  <c:v>10.6145033922812</c:v>
                </c:pt>
                <c:pt idx="4">
                  <c:v>10.482371260149</c:v>
                </c:pt>
                <c:pt idx="5">
                  <c:v>10.3208764319875</c:v>
                </c:pt>
                <c:pt idx="6">
                  <c:v>9.5868090312534804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07008"/>
        <c:axId val="193308544"/>
      </c:scatterChart>
      <c:valAx>
        <c:axId val="1933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308544"/>
        <c:crosses val="autoZero"/>
        <c:crossBetween val="midCat"/>
      </c:valAx>
      <c:valAx>
        <c:axId val="1933085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3070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[0]!x_s5_c1</c:f>
              <c:numCache>
                <c:formatCode>General</c:formatCode>
                <c:ptCount val="7"/>
                <c:pt idx="0">
                  <c:v>34.950000000000003</c:v>
                </c:pt>
                <c:pt idx="1">
                  <c:v>35.299999999999997</c:v>
                </c:pt>
                <c:pt idx="2">
                  <c:v>35.65</c:v>
                </c:pt>
                <c:pt idx="3">
                  <c:v>36</c:v>
                </c:pt>
                <c:pt idx="4">
                  <c:v>36.35</c:v>
                </c:pt>
                <c:pt idx="5">
                  <c:v>36.700000000000003</c:v>
                </c:pt>
                <c:pt idx="6">
                  <c:v>37.049999999999997</c:v>
                </c:pt>
              </c:numCache>
            </c:numRef>
          </c:xVal>
          <c:yVal>
            <c:numRef>
              <c:f>[0]!y_s5_c1</c:f>
              <c:numCache>
                <c:formatCode>General</c:formatCode>
                <c:ptCount val="7"/>
                <c:pt idx="0">
                  <c:v>8.8233789344900497</c:v>
                </c:pt>
                <c:pt idx="1">
                  <c:v>10.2548103659215</c:v>
                </c:pt>
                <c:pt idx="2">
                  <c:v>10.416305194083</c:v>
                </c:pt>
                <c:pt idx="3">
                  <c:v>10.453008564119701</c:v>
                </c:pt>
                <c:pt idx="4">
                  <c:v>10.453008564119701</c:v>
                </c:pt>
                <c:pt idx="5">
                  <c:v>10.3502391280169</c:v>
                </c:pt>
                <c:pt idx="6">
                  <c:v>9.9538427316205098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5312"/>
        <c:axId val="193421312"/>
      </c:scatterChart>
      <c:valAx>
        <c:axId val="19332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421312"/>
        <c:crosses val="autoZero"/>
        <c:crossBetween val="midCat"/>
      </c:valAx>
      <c:valAx>
        <c:axId val="1934213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325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6.9497628585900445E-2"/>
                  <c:y val="-2.6788535855128661E-2"/>
                </c:manualLayout>
              </c:layout>
              <c:numFmt formatCode="General" sourceLinked="0"/>
            </c:trendlineLbl>
          </c:trendline>
          <c:xVal>
            <c:numRef>
              <c:f>'Sensor 5'!$S$3:$S$14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5'!$R$3:$R$14</c:f>
              <c:numCache>
                <c:formatCode>General</c:formatCode>
                <c:ptCount val="12"/>
                <c:pt idx="0">
                  <c:v>35.482710908113887</c:v>
                </c:pt>
                <c:pt idx="1">
                  <c:v>35.593988853503149</c:v>
                </c:pt>
                <c:pt idx="2">
                  <c:v>35.686803475134795</c:v>
                </c:pt>
                <c:pt idx="3">
                  <c:v>35.816131025957944</c:v>
                </c:pt>
                <c:pt idx="4">
                  <c:v>35.803368907295287</c:v>
                </c:pt>
                <c:pt idx="5">
                  <c:v>35.886105371900804</c:v>
                </c:pt>
                <c:pt idx="6">
                  <c:v>35.799881822088501</c:v>
                </c:pt>
                <c:pt idx="7">
                  <c:v>35.900780836421362</c:v>
                </c:pt>
                <c:pt idx="8">
                  <c:v>35.904839091339305</c:v>
                </c:pt>
                <c:pt idx="9">
                  <c:v>35.972403419885993</c:v>
                </c:pt>
                <c:pt idx="10">
                  <c:v>36.033541666666643</c:v>
                </c:pt>
                <c:pt idx="11">
                  <c:v>36.180365853658529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47040"/>
        <c:axId val="193448576"/>
      </c:scatterChart>
      <c:valAx>
        <c:axId val="19344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448576"/>
        <c:crosses val="autoZero"/>
        <c:crossBetween val="midCat"/>
      </c:valAx>
      <c:valAx>
        <c:axId val="1934485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447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[0]!x_s6_c12</c:f>
              <c:numCache>
                <c:formatCode>General</c:formatCode>
                <c:ptCount val="7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</c:numCache>
            </c:numRef>
          </c:xVal>
          <c:yVal>
            <c:numRef>
              <c:f>[0]!y_s6_c12</c:f>
              <c:numCache>
                <c:formatCode>General</c:formatCode>
                <c:ptCount val="7"/>
                <c:pt idx="0">
                  <c:v>9.6779249448123608</c:v>
                </c:pt>
                <c:pt idx="1">
                  <c:v>10.4355408388521</c:v>
                </c:pt>
                <c:pt idx="2">
                  <c:v>10.595805739514301</c:v>
                </c:pt>
                <c:pt idx="3">
                  <c:v>10.5666666666667</c:v>
                </c:pt>
                <c:pt idx="4">
                  <c:v>10.4646799116998</c:v>
                </c:pt>
                <c:pt idx="5">
                  <c:v>10.0713024282561</c:v>
                </c:pt>
                <c:pt idx="6">
                  <c:v>8.6871964679911695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26784"/>
        <c:axId val="193532672"/>
      </c:scatterChart>
      <c:valAx>
        <c:axId val="19352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532672"/>
        <c:crosses val="autoZero"/>
        <c:crossBetween val="midCat"/>
      </c:valAx>
      <c:valAx>
        <c:axId val="193532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5267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[0]!x_s6_c11</c:f>
              <c:numCache>
                <c:formatCode>General</c:formatCode>
                <c:ptCount val="7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</c:numCache>
            </c:numRef>
          </c:xVal>
          <c:yVal>
            <c:numRef>
              <c:f>[0]!y_s6_c11</c:f>
              <c:numCache>
                <c:formatCode>General</c:formatCode>
                <c:ptCount val="7"/>
                <c:pt idx="0">
                  <c:v>9.7434878587196394</c:v>
                </c:pt>
                <c:pt idx="1">
                  <c:v>10.3991169977925</c:v>
                </c:pt>
                <c:pt idx="2">
                  <c:v>10.5666666666667</c:v>
                </c:pt>
                <c:pt idx="3">
                  <c:v>10.5302428256071</c:v>
                </c:pt>
                <c:pt idx="4">
                  <c:v>10.4355408388521</c:v>
                </c:pt>
                <c:pt idx="5">
                  <c:v>10.0348785871965</c:v>
                </c:pt>
                <c:pt idx="6">
                  <c:v>8.6580573951434907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74400"/>
        <c:axId val="193575936"/>
      </c:scatterChart>
      <c:valAx>
        <c:axId val="19357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575936"/>
        <c:crosses val="autoZero"/>
        <c:crossBetween val="midCat"/>
      </c:valAx>
      <c:valAx>
        <c:axId val="193575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574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[0]!x_s6_c10</c:f>
              <c:numCache>
                <c:formatCode>General</c:formatCode>
                <c:ptCount val="7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</c:numCache>
            </c:numRef>
          </c:xVal>
          <c:yVal>
            <c:numRef>
              <c:f>[0]!y_s6_c10</c:f>
              <c:numCache>
                <c:formatCode>General</c:formatCode>
                <c:ptCount val="7"/>
                <c:pt idx="0">
                  <c:v>9.5103752759381894</c:v>
                </c:pt>
                <c:pt idx="1">
                  <c:v>10.2388520971302</c:v>
                </c:pt>
                <c:pt idx="2">
                  <c:v>10.5011037527594</c:v>
                </c:pt>
                <c:pt idx="3">
                  <c:v>10.5011037527594</c:v>
                </c:pt>
                <c:pt idx="4">
                  <c:v>10.3699779249448</c:v>
                </c:pt>
                <c:pt idx="5">
                  <c:v>10.0713024282561</c:v>
                </c:pt>
                <c:pt idx="6">
                  <c:v>8.7891832229580604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84512"/>
        <c:axId val="193594496"/>
      </c:scatterChart>
      <c:valAx>
        <c:axId val="1935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594496"/>
        <c:crosses val="autoZero"/>
        <c:crossBetween val="midCat"/>
      </c:valAx>
      <c:valAx>
        <c:axId val="193594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5845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[0]!x_s6_c9</c:f>
              <c:numCache>
                <c:formatCode>General</c:formatCode>
                <c:ptCount val="7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</c:numCache>
            </c:numRef>
          </c:xVal>
          <c:yVal>
            <c:numRef>
              <c:f>[0]!y_s6_c9</c:f>
              <c:numCache>
                <c:formatCode>General</c:formatCode>
                <c:ptCount val="7"/>
                <c:pt idx="0">
                  <c:v>9.2116997792494502</c:v>
                </c:pt>
                <c:pt idx="1">
                  <c:v>10.202428256070601</c:v>
                </c:pt>
                <c:pt idx="2">
                  <c:v>10.5011037527594</c:v>
                </c:pt>
                <c:pt idx="3">
                  <c:v>10.5302428256071</c:v>
                </c:pt>
                <c:pt idx="4">
                  <c:v>10.4646799116998</c:v>
                </c:pt>
                <c:pt idx="5">
                  <c:v>10.173289183223</c:v>
                </c:pt>
                <c:pt idx="6">
                  <c:v>9.1825607064017607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1360"/>
        <c:axId val="193632896"/>
      </c:scatterChart>
      <c:valAx>
        <c:axId val="19363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632896"/>
        <c:crosses val="autoZero"/>
        <c:crossBetween val="midCat"/>
      </c:valAx>
      <c:valAx>
        <c:axId val="1936328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6313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[0]!x_s6_c8</c:f>
              <c:numCache>
                <c:formatCode>General</c:formatCode>
                <c:ptCount val="8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  <c:pt idx="7">
                  <c:v>46.05</c:v>
                </c:pt>
              </c:numCache>
            </c:numRef>
          </c:xVal>
          <c:yVal>
            <c:numRef>
              <c:f>[0]!y_s6_c8</c:f>
              <c:numCache>
                <c:formatCode>General</c:formatCode>
                <c:ptCount val="8"/>
                <c:pt idx="0">
                  <c:v>8.5560706401765998</c:v>
                </c:pt>
                <c:pt idx="1">
                  <c:v>10.0348785871965</c:v>
                </c:pt>
                <c:pt idx="2">
                  <c:v>10.4646799116998</c:v>
                </c:pt>
                <c:pt idx="3">
                  <c:v>10.5302428256071</c:v>
                </c:pt>
                <c:pt idx="4">
                  <c:v>10.4355408388521</c:v>
                </c:pt>
                <c:pt idx="5">
                  <c:v>10.173289183223</c:v>
                </c:pt>
                <c:pt idx="6">
                  <c:v>9.1461368653421609</c:v>
                </c:pt>
                <c:pt idx="7">
                  <c:v>7.3686534216335504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53760"/>
        <c:axId val="192697088"/>
      </c:scatterChart>
      <c:valAx>
        <c:axId val="19365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697088"/>
        <c:crosses val="autoZero"/>
        <c:crossBetween val="midCat"/>
      </c:valAx>
      <c:valAx>
        <c:axId val="192697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653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[0]!x_s6_c7</c:f>
              <c:numCache>
                <c:formatCode>General</c:formatCode>
                <c:ptCount val="8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  <c:pt idx="7">
                  <c:v>46.05</c:v>
                </c:pt>
              </c:numCache>
            </c:numRef>
          </c:xVal>
          <c:yVal>
            <c:numRef>
              <c:f>[0]!y_s6_c7</c:f>
              <c:numCache>
                <c:formatCode>General</c:formatCode>
                <c:ptCount val="8"/>
                <c:pt idx="0">
                  <c:v>8.4249448123620301</c:v>
                </c:pt>
                <c:pt idx="1">
                  <c:v>10.0057395143488</c:v>
                </c:pt>
                <c:pt idx="2">
                  <c:v>10.5302428256071</c:v>
                </c:pt>
                <c:pt idx="3">
                  <c:v>10.632229580573901</c:v>
                </c:pt>
                <c:pt idx="4">
                  <c:v>10.5666666666667</c:v>
                </c:pt>
                <c:pt idx="5">
                  <c:v>10.267991169977901</c:v>
                </c:pt>
                <c:pt idx="6">
                  <c:v>9.3792494481236197</c:v>
                </c:pt>
                <c:pt idx="7">
                  <c:v>7.7693156732891797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96192"/>
        <c:axId val="193497728"/>
      </c:scatterChart>
      <c:valAx>
        <c:axId val="19349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497728"/>
        <c:crosses val="autoZero"/>
        <c:crossBetween val="midCat"/>
      </c:valAx>
      <c:valAx>
        <c:axId val="193497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3496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[0]!x_s6_c6</c:f>
              <c:numCache>
                <c:formatCode>General</c:formatCode>
                <c:ptCount val="8"/>
                <c:pt idx="0">
                  <c:v>43.6</c:v>
                </c:pt>
                <c:pt idx="1">
                  <c:v>43.95</c:v>
                </c:pt>
                <c:pt idx="2">
                  <c:v>44.3</c:v>
                </c:pt>
                <c:pt idx="3">
                  <c:v>44.65</c:v>
                </c:pt>
                <c:pt idx="4">
                  <c:v>45</c:v>
                </c:pt>
                <c:pt idx="5">
                  <c:v>45.35</c:v>
                </c:pt>
                <c:pt idx="6">
                  <c:v>45.7</c:v>
                </c:pt>
                <c:pt idx="7">
                  <c:v>46.05</c:v>
                </c:pt>
              </c:numCache>
            </c:numRef>
          </c:xVal>
          <c:yVal>
            <c:numRef>
              <c:f>[0]!y_s6_c6</c:f>
              <c:numCache>
                <c:formatCode>General</c:formatCode>
                <c:ptCount val="8"/>
                <c:pt idx="0">
                  <c:v>8.5269315673289192</c:v>
                </c:pt>
                <c:pt idx="1">
                  <c:v>10.0057395143488</c:v>
                </c:pt>
                <c:pt idx="2">
                  <c:v>10.5302428256071</c:v>
                </c:pt>
                <c:pt idx="3">
                  <c:v>10.632229580573901</c:v>
                </c:pt>
                <c:pt idx="4">
                  <c:v>10.5666666666667</c:v>
                </c:pt>
                <c:pt idx="5">
                  <c:v>10.3335540838852</c:v>
                </c:pt>
                <c:pt idx="6">
                  <c:v>9.7434878587196394</c:v>
                </c:pt>
                <c:pt idx="7">
                  <c:v>8.0315673289183191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44448"/>
        <c:axId val="192762624"/>
      </c:scatterChart>
      <c:valAx>
        <c:axId val="19274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762624"/>
        <c:crosses val="autoZero"/>
        <c:crossBetween val="midCat"/>
      </c:valAx>
      <c:valAx>
        <c:axId val="192762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27444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[0]!x_s6_c5</c:f>
              <c:numCache>
                <c:formatCode>General</c:formatCode>
                <c:ptCount val="7"/>
                <c:pt idx="0">
                  <c:v>43.95</c:v>
                </c:pt>
                <c:pt idx="1">
                  <c:v>44.3</c:v>
                </c:pt>
                <c:pt idx="2">
                  <c:v>44.65</c:v>
                </c:pt>
                <c:pt idx="3">
                  <c:v>45</c:v>
                </c:pt>
                <c:pt idx="4">
                  <c:v>45.35</c:v>
                </c:pt>
                <c:pt idx="5">
                  <c:v>45.7</c:v>
                </c:pt>
                <c:pt idx="6">
                  <c:v>46.05</c:v>
                </c:pt>
              </c:numCache>
            </c:numRef>
          </c:xVal>
          <c:yVal>
            <c:numRef>
              <c:f>[0]!y_s6_c5</c:f>
              <c:numCache>
                <c:formatCode>General</c:formatCode>
                <c:ptCount val="7"/>
                <c:pt idx="0">
                  <c:v>9.7434878587196394</c:v>
                </c:pt>
                <c:pt idx="1">
                  <c:v>10.3991169977925</c:v>
                </c:pt>
                <c:pt idx="2">
                  <c:v>10.5302428256071</c:v>
                </c:pt>
                <c:pt idx="3">
                  <c:v>10.5011037527594</c:v>
                </c:pt>
                <c:pt idx="4">
                  <c:v>10.3044150110375</c:v>
                </c:pt>
                <c:pt idx="5">
                  <c:v>9.7070640176600396</c:v>
                </c:pt>
                <c:pt idx="6">
                  <c:v>8.2282560706401693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1680"/>
        <c:axId val="192793216"/>
      </c:scatterChart>
      <c:valAx>
        <c:axId val="19279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793216"/>
        <c:crosses val="autoZero"/>
        <c:crossBetween val="midCat"/>
      </c:valAx>
      <c:valAx>
        <c:axId val="1927932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27916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[0]!x_s6_c4</c:f>
              <c:numCache>
                <c:formatCode>General</c:formatCode>
                <c:ptCount val="7"/>
                <c:pt idx="0">
                  <c:v>43.95</c:v>
                </c:pt>
                <c:pt idx="1">
                  <c:v>44.3</c:v>
                </c:pt>
                <c:pt idx="2">
                  <c:v>44.65</c:v>
                </c:pt>
                <c:pt idx="3">
                  <c:v>45</c:v>
                </c:pt>
                <c:pt idx="4">
                  <c:v>45.35</c:v>
                </c:pt>
                <c:pt idx="5">
                  <c:v>45.7</c:v>
                </c:pt>
                <c:pt idx="6">
                  <c:v>46.05</c:v>
                </c:pt>
              </c:numCache>
            </c:numRef>
          </c:xVal>
          <c:yVal>
            <c:numRef>
              <c:f>[0]!y_s6_c4</c:f>
              <c:numCache>
                <c:formatCode>General</c:formatCode>
                <c:ptCount val="7"/>
                <c:pt idx="0">
                  <c:v>9.6123620309050803</c:v>
                </c:pt>
                <c:pt idx="1">
                  <c:v>10.3044150110375</c:v>
                </c:pt>
                <c:pt idx="2">
                  <c:v>10.5011037527594</c:v>
                </c:pt>
                <c:pt idx="3">
                  <c:v>10.4646799116998</c:v>
                </c:pt>
                <c:pt idx="4">
                  <c:v>10.3044150110375</c:v>
                </c:pt>
                <c:pt idx="5">
                  <c:v>9.7726269315673306</c:v>
                </c:pt>
                <c:pt idx="6">
                  <c:v>8.2282560706401693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4080"/>
        <c:axId val="192832256"/>
      </c:scatterChart>
      <c:valAx>
        <c:axId val="19281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832256"/>
        <c:crosses val="autoZero"/>
        <c:crossBetween val="midCat"/>
      </c:valAx>
      <c:valAx>
        <c:axId val="1928322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28140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[0]!x_s6_c3</c:f>
              <c:numCache>
                <c:formatCode>General</c:formatCode>
                <c:ptCount val="7"/>
                <c:pt idx="0">
                  <c:v>43.95</c:v>
                </c:pt>
                <c:pt idx="1">
                  <c:v>44.3</c:v>
                </c:pt>
                <c:pt idx="2">
                  <c:v>44.65</c:v>
                </c:pt>
                <c:pt idx="3">
                  <c:v>45</c:v>
                </c:pt>
                <c:pt idx="4">
                  <c:v>45.35</c:v>
                </c:pt>
                <c:pt idx="5">
                  <c:v>45.7</c:v>
                </c:pt>
                <c:pt idx="6">
                  <c:v>46.05</c:v>
                </c:pt>
              </c:numCache>
            </c:numRef>
          </c:xVal>
          <c:yVal>
            <c:numRef>
              <c:f>[0]!y_s6_c3</c:f>
              <c:numCache>
                <c:formatCode>General</c:formatCode>
                <c:ptCount val="7"/>
                <c:pt idx="0">
                  <c:v>9.6123620309050803</c:v>
                </c:pt>
                <c:pt idx="1">
                  <c:v>10.2388520971302</c:v>
                </c:pt>
                <c:pt idx="2">
                  <c:v>10.4355408388521</c:v>
                </c:pt>
                <c:pt idx="3">
                  <c:v>10.4355408388521</c:v>
                </c:pt>
                <c:pt idx="4">
                  <c:v>10.267991169977901</c:v>
                </c:pt>
                <c:pt idx="5">
                  <c:v>9.6415011037527591</c:v>
                </c:pt>
                <c:pt idx="6">
                  <c:v>8.1626931567328906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49024"/>
        <c:axId val="192850560"/>
      </c:scatterChart>
      <c:valAx>
        <c:axId val="19284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850560"/>
        <c:crosses val="autoZero"/>
        <c:crossBetween val="midCat"/>
      </c:valAx>
      <c:valAx>
        <c:axId val="1928505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28490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[0]!x_s6_c2</c:f>
              <c:numCache>
                <c:formatCode>General</c:formatCode>
                <c:ptCount val="7"/>
                <c:pt idx="0">
                  <c:v>43.95</c:v>
                </c:pt>
                <c:pt idx="1">
                  <c:v>44.3</c:v>
                </c:pt>
                <c:pt idx="2">
                  <c:v>44.65</c:v>
                </c:pt>
                <c:pt idx="3">
                  <c:v>45</c:v>
                </c:pt>
                <c:pt idx="4">
                  <c:v>45.35</c:v>
                </c:pt>
                <c:pt idx="5">
                  <c:v>45.7</c:v>
                </c:pt>
                <c:pt idx="6">
                  <c:v>46.05</c:v>
                </c:pt>
              </c:numCache>
            </c:numRef>
          </c:xVal>
          <c:yVal>
            <c:numRef>
              <c:f>[0]!y_s6_c2</c:f>
              <c:numCache>
                <c:formatCode>General</c:formatCode>
                <c:ptCount val="7"/>
                <c:pt idx="0">
                  <c:v>9.5759381898454699</c:v>
                </c:pt>
                <c:pt idx="1">
                  <c:v>10.2388520971302</c:v>
                </c:pt>
                <c:pt idx="2">
                  <c:v>10.4646799116998</c:v>
                </c:pt>
                <c:pt idx="3">
                  <c:v>10.4646799116998</c:v>
                </c:pt>
                <c:pt idx="4">
                  <c:v>10.3699779249448</c:v>
                </c:pt>
                <c:pt idx="5">
                  <c:v>9.9401766004415002</c:v>
                </c:pt>
                <c:pt idx="6">
                  <c:v>8.5560706401765998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01920"/>
        <c:axId val="194007808"/>
      </c:scatterChart>
      <c:valAx>
        <c:axId val="19400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007808"/>
        <c:crosses val="autoZero"/>
        <c:crossBetween val="midCat"/>
      </c:valAx>
      <c:valAx>
        <c:axId val="1940078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0019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[0]!x_s6_c1</c:f>
              <c:numCache>
                <c:formatCode>General</c:formatCode>
                <c:ptCount val="7"/>
                <c:pt idx="0">
                  <c:v>43.95</c:v>
                </c:pt>
                <c:pt idx="1">
                  <c:v>44.3</c:v>
                </c:pt>
                <c:pt idx="2">
                  <c:v>44.65</c:v>
                </c:pt>
                <c:pt idx="3">
                  <c:v>45</c:v>
                </c:pt>
                <c:pt idx="4">
                  <c:v>45.35</c:v>
                </c:pt>
                <c:pt idx="5">
                  <c:v>45.7</c:v>
                </c:pt>
                <c:pt idx="6">
                  <c:v>46.05</c:v>
                </c:pt>
              </c:numCache>
            </c:numRef>
          </c:xVal>
          <c:yVal>
            <c:numRef>
              <c:f>[0]!y_s6_c1</c:f>
              <c:numCache>
                <c:formatCode>General</c:formatCode>
                <c:ptCount val="7"/>
                <c:pt idx="0">
                  <c:v>9.1169977924944803</c:v>
                </c:pt>
                <c:pt idx="1">
                  <c:v>10.0713024282561</c:v>
                </c:pt>
                <c:pt idx="2">
                  <c:v>10.3699779249448</c:v>
                </c:pt>
                <c:pt idx="3">
                  <c:v>10.3699779249448</c:v>
                </c:pt>
                <c:pt idx="4">
                  <c:v>10.267991169977901</c:v>
                </c:pt>
                <c:pt idx="5">
                  <c:v>9.9037527593819004</c:v>
                </c:pt>
                <c:pt idx="6">
                  <c:v>8.6216335540838802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49152"/>
        <c:axId val="194050688"/>
      </c:scatterChart>
      <c:valAx>
        <c:axId val="19404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050688"/>
        <c:crosses val="autoZero"/>
        <c:crossBetween val="midCat"/>
      </c:valAx>
      <c:valAx>
        <c:axId val="1940506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0491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6'!$S$3:$S$14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6'!$R$3:$R$14</c:f>
              <c:numCache>
                <c:formatCode>General</c:formatCode>
                <c:ptCount val="12"/>
                <c:pt idx="0">
                  <c:v>44.502326203208575</c:v>
                </c:pt>
                <c:pt idx="1">
                  <c:v>44.485299833425891</c:v>
                </c:pt>
                <c:pt idx="2">
                  <c:v>44.544766796224323</c:v>
                </c:pt>
                <c:pt idx="3">
                  <c:v>44.642671691792287</c:v>
                </c:pt>
                <c:pt idx="4">
                  <c:v>44.691895438029903</c:v>
                </c:pt>
                <c:pt idx="5">
                  <c:v>44.74080829756798</c:v>
                </c:pt>
                <c:pt idx="6">
                  <c:v>44.76723451327436</c:v>
                </c:pt>
                <c:pt idx="7">
                  <c:v>44.779400795624063</c:v>
                </c:pt>
                <c:pt idx="8">
                  <c:v>44.811466892218462</c:v>
                </c:pt>
                <c:pt idx="9">
                  <c:v>44.79980544747081</c:v>
                </c:pt>
                <c:pt idx="10">
                  <c:v>44.85625996810208</c:v>
                </c:pt>
                <c:pt idx="11">
                  <c:v>44.931318136769079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80768"/>
        <c:axId val="194082304"/>
      </c:scatterChart>
      <c:valAx>
        <c:axId val="19408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082304"/>
        <c:crosses val="autoZero"/>
        <c:crossBetween val="midCat"/>
      </c:valAx>
      <c:valAx>
        <c:axId val="1940823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0807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[0]!x_s7_c12</c:f>
              <c:numCache>
                <c:formatCode>General</c:formatCode>
                <c:ptCount val="10"/>
                <c:pt idx="0">
                  <c:v>51.9</c:v>
                </c:pt>
                <c:pt idx="1">
                  <c:v>52.25</c:v>
                </c:pt>
                <c:pt idx="2">
                  <c:v>52.6</c:v>
                </c:pt>
                <c:pt idx="3">
                  <c:v>52.95</c:v>
                </c:pt>
                <c:pt idx="4">
                  <c:v>53.3</c:v>
                </c:pt>
                <c:pt idx="5">
                  <c:v>53.65</c:v>
                </c:pt>
                <c:pt idx="6">
                  <c:v>54</c:v>
                </c:pt>
                <c:pt idx="7">
                  <c:v>54.35</c:v>
                </c:pt>
                <c:pt idx="8">
                  <c:v>54.7</c:v>
                </c:pt>
                <c:pt idx="9">
                  <c:v>55.05</c:v>
                </c:pt>
              </c:numCache>
            </c:numRef>
          </c:xVal>
          <c:yVal>
            <c:numRef>
              <c:f>[0]!y_s7_c12</c:f>
              <c:numCache>
                <c:formatCode>General</c:formatCode>
                <c:ptCount val="10"/>
                <c:pt idx="0">
                  <c:v>8.5423051299133892</c:v>
                </c:pt>
                <c:pt idx="1">
                  <c:v>10.007994670219899</c:v>
                </c:pt>
                <c:pt idx="2">
                  <c:v>10.572285143237799</c:v>
                </c:pt>
                <c:pt idx="3">
                  <c:v>10.770153231179201</c:v>
                </c:pt>
                <c:pt idx="4">
                  <c:v>10.872751499000699</c:v>
                </c:pt>
                <c:pt idx="5">
                  <c:v>10.799467021985301</c:v>
                </c:pt>
                <c:pt idx="6">
                  <c:v>10.6382411725516</c:v>
                </c:pt>
                <c:pt idx="7">
                  <c:v>10.3377748167888</c:v>
                </c:pt>
                <c:pt idx="8">
                  <c:v>8.6742171885409807</c:v>
                </c:pt>
                <c:pt idx="9">
                  <c:v>7.9120586275816098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0992"/>
        <c:axId val="194182528"/>
      </c:scatterChart>
      <c:valAx>
        <c:axId val="19418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182528"/>
        <c:crosses val="autoZero"/>
        <c:crossBetween val="midCat"/>
      </c:valAx>
      <c:valAx>
        <c:axId val="1941825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1809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[0]!x_s7_c11</c:f>
              <c:numCache>
                <c:formatCode>General</c:formatCode>
                <c:ptCount val="10"/>
                <c:pt idx="0">
                  <c:v>51.9</c:v>
                </c:pt>
                <c:pt idx="1">
                  <c:v>52.25</c:v>
                </c:pt>
                <c:pt idx="2">
                  <c:v>52.6</c:v>
                </c:pt>
                <c:pt idx="3">
                  <c:v>52.95</c:v>
                </c:pt>
                <c:pt idx="4">
                  <c:v>53.3</c:v>
                </c:pt>
                <c:pt idx="5">
                  <c:v>53.65</c:v>
                </c:pt>
                <c:pt idx="6">
                  <c:v>54</c:v>
                </c:pt>
                <c:pt idx="7">
                  <c:v>54.35</c:v>
                </c:pt>
                <c:pt idx="8">
                  <c:v>54.7</c:v>
                </c:pt>
                <c:pt idx="9">
                  <c:v>55.05</c:v>
                </c:pt>
              </c:numCache>
            </c:numRef>
          </c:xVal>
          <c:yVal>
            <c:numRef>
              <c:f>[0]!y_s7_c11</c:f>
              <c:numCache>
                <c:formatCode>General</c:formatCode>
                <c:ptCount val="10"/>
                <c:pt idx="0">
                  <c:v>8.7768154563624297</c:v>
                </c:pt>
                <c:pt idx="1">
                  <c:v>10.037308461026001</c:v>
                </c:pt>
                <c:pt idx="2">
                  <c:v>10.572285143237799</c:v>
                </c:pt>
                <c:pt idx="3">
                  <c:v>10.799467021985301</c:v>
                </c:pt>
                <c:pt idx="4">
                  <c:v>10.836109260493</c:v>
                </c:pt>
                <c:pt idx="5">
                  <c:v>10.799467021985301</c:v>
                </c:pt>
                <c:pt idx="6">
                  <c:v>10.6382411725516</c:v>
                </c:pt>
                <c:pt idx="7">
                  <c:v>10.374417055296499</c:v>
                </c:pt>
                <c:pt idx="8">
                  <c:v>8.6449033977348506</c:v>
                </c:pt>
                <c:pt idx="9">
                  <c:v>7.80946035976016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38272"/>
        <c:axId val="188839808"/>
      </c:scatterChart>
      <c:valAx>
        <c:axId val="18883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839808"/>
        <c:crosses val="autoZero"/>
        <c:crossBetween val="midCat"/>
      </c:valAx>
      <c:valAx>
        <c:axId val="1888398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88382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[0]!x_s7_c10</c:f>
              <c:numCache>
                <c:formatCode>General</c:formatCode>
                <c:ptCount val="10"/>
                <c:pt idx="0">
                  <c:v>51.9</c:v>
                </c:pt>
                <c:pt idx="1">
                  <c:v>52.25</c:v>
                </c:pt>
                <c:pt idx="2">
                  <c:v>52.6</c:v>
                </c:pt>
                <c:pt idx="3">
                  <c:v>52.95</c:v>
                </c:pt>
                <c:pt idx="4">
                  <c:v>53.3</c:v>
                </c:pt>
                <c:pt idx="5">
                  <c:v>53.65</c:v>
                </c:pt>
                <c:pt idx="6">
                  <c:v>54</c:v>
                </c:pt>
                <c:pt idx="7">
                  <c:v>54.35</c:v>
                </c:pt>
                <c:pt idx="8">
                  <c:v>54.7</c:v>
                </c:pt>
                <c:pt idx="9">
                  <c:v>55.05</c:v>
                </c:pt>
              </c:numCache>
            </c:numRef>
          </c:xVal>
          <c:yVal>
            <c:numRef>
              <c:f>[0]!y_s7_c10</c:f>
              <c:numCache>
                <c:formatCode>General</c:formatCode>
                <c:ptCount val="10"/>
                <c:pt idx="0">
                  <c:v>8.4103930712858102</c:v>
                </c:pt>
                <c:pt idx="1">
                  <c:v>9.7368421052631593</c:v>
                </c:pt>
                <c:pt idx="2">
                  <c:v>10.5063291139241</c:v>
                </c:pt>
                <c:pt idx="3">
                  <c:v>10.6675549633578</c:v>
                </c:pt>
                <c:pt idx="4">
                  <c:v>10.799467021985301</c:v>
                </c:pt>
                <c:pt idx="5">
                  <c:v>10.733510992671601</c:v>
                </c:pt>
                <c:pt idx="6">
                  <c:v>10.601598934044</c:v>
                </c:pt>
                <c:pt idx="7">
                  <c:v>10.271818787475</c:v>
                </c:pt>
                <c:pt idx="8">
                  <c:v>8.5129913391072591</c:v>
                </c:pt>
                <c:pt idx="9">
                  <c:v>7.6115922718187896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24032"/>
        <c:axId val="194129920"/>
      </c:scatterChart>
      <c:valAx>
        <c:axId val="19412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129920"/>
        <c:crosses val="autoZero"/>
        <c:crossBetween val="midCat"/>
      </c:valAx>
      <c:valAx>
        <c:axId val="1941299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1240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[0]!x_s7_c9</c:f>
              <c:numCache>
                <c:formatCode>General</c:formatCode>
                <c:ptCount val="10"/>
                <c:pt idx="0">
                  <c:v>51.9</c:v>
                </c:pt>
                <c:pt idx="1">
                  <c:v>52.25</c:v>
                </c:pt>
                <c:pt idx="2">
                  <c:v>52.6</c:v>
                </c:pt>
                <c:pt idx="3">
                  <c:v>52.95</c:v>
                </c:pt>
                <c:pt idx="4">
                  <c:v>53.3</c:v>
                </c:pt>
                <c:pt idx="5">
                  <c:v>53.65</c:v>
                </c:pt>
                <c:pt idx="6">
                  <c:v>54</c:v>
                </c:pt>
                <c:pt idx="7">
                  <c:v>54.35</c:v>
                </c:pt>
                <c:pt idx="8">
                  <c:v>54.7</c:v>
                </c:pt>
                <c:pt idx="9">
                  <c:v>55.05</c:v>
                </c:pt>
              </c:numCache>
            </c:numRef>
          </c:xVal>
          <c:yVal>
            <c:numRef>
              <c:f>[0]!y_s7_c9</c:f>
              <c:numCache>
                <c:formatCode>General</c:formatCode>
                <c:ptCount val="10"/>
                <c:pt idx="0">
                  <c:v>7.9780146568954002</c:v>
                </c:pt>
                <c:pt idx="1">
                  <c:v>9.6049300466355803</c:v>
                </c:pt>
                <c:pt idx="2">
                  <c:v>10.4403730846103</c:v>
                </c:pt>
                <c:pt idx="3">
                  <c:v>10.733510992671601</c:v>
                </c:pt>
                <c:pt idx="4">
                  <c:v>10.836109260493</c:v>
                </c:pt>
                <c:pt idx="5">
                  <c:v>10.770153231179201</c:v>
                </c:pt>
                <c:pt idx="6">
                  <c:v>10.6382411725516</c:v>
                </c:pt>
                <c:pt idx="7">
                  <c:v>10.4403730846103</c:v>
                </c:pt>
                <c:pt idx="8">
                  <c:v>8.5129913391072591</c:v>
                </c:pt>
                <c:pt idx="9">
                  <c:v>7.80946035976016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64864"/>
        <c:axId val="188966400"/>
      </c:scatterChart>
      <c:valAx>
        <c:axId val="18896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966400"/>
        <c:crosses val="autoZero"/>
        <c:crossBetween val="midCat"/>
      </c:valAx>
      <c:valAx>
        <c:axId val="1889664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89648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[0]!x_s7_c8</c:f>
              <c:numCache>
                <c:formatCode>General</c:formatCode>
                <c:ptCount val="9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</c:numCache>
            </c:numRef>
          </c:xVal>
          <c:yVal>
            <c:numRef>
              <c:f>[0]!y_s7_c8</c:f>
              <c:numCache>
                <c:formatCode>General</c:formatCode>
                <c:ptCount val="9"/>
                <c:pt idx="0">
                  <c:v>9.2385076615589607</c:v>
                </c:pt>
                <c:pt idx="1">
                  <c:v>10.2351765489674</c:v>
                </c:pt>
                <c:pt idx="2">
                  <c:v>10.601598934044</c:v>
                </c:pt>
                <c:pt idx="3">
                  <c:v>10.733510992671601</c:v>
                </c:pt>
                <c:pt idx="4">
                  <c:v>10.7041972018654</c:v>
                </c:pt>
                <c:pt idx="5">
                  <c:v>10.601598934044</c:v>
                </c:pt>
                <c:pt idx="6">
                  <c:v>10.4696868754164</c:v>
                </c:pt>
                <c:pt idx="7">
                  <c:v>9.1725516322451703</c:v>
                </c:pt>
                <c:pt idx="8">
                  <c:v>8.2418387741505708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03648"/>
        <c:axId val="189005184"/>
      </c:scatterChart>
      <c:valAx>
        <c:axId val="18900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005184"/>
        <c:crosses val="autoZero"/>
        <c:crossBetween val="midCat"/>
      </c:valAx>
      <c:valAx>
        <c:axId val="189005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890036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[0]!x_s7_c7</c:f>
              <c:numCache>
                <c:formatCode>General</c:formatCode>
                <c:ptCount val="9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</c:numCache>
            </c:numRef>
          </c:xVal>
          <c:yVal>
            <c:numRef>
              <c:f>[0]!y_s7_c7</c:f>
              <c:numCache>
                <c:formatCode>General</c:formatCode>
                <c:ptCount val="9"/>
                <c:pt idx="0">
                  <c:v>9.0772818121252499</c:v>
                </c:pt>
                <c:pt idx="1">
                  <c:v>10.205862758161199</c:v>
                </c:pt>
                <c:pt idx="2">
                  <c:v>10.6675549633578</c:v>
                </c:pt>
                <c:pt idx="3">
                  <c:v>10.872751499000699</c:v>
                </c:pt>
                <c:pt idx="4">
                  <c:v>10.938707528314501</c:v>
                </c:pt>
                <c:pt idx="5">
                  <c:v>10.799467021985301</c:v>
                </c:pt>
                <c:pt idx="6">
                  <c:v>10.601598934044</c:v>
                </c:pt>
                <c:pt idx="7">
                  <c:v>9.4070619586942108</c:v>
                </c:pt>
                <c:pt idx="8">
                  <c:v>8.3077948034643594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07744"/>
        <c:axId val="194209280"/>
      </c:scatterChart>
      <c:valAx>
        <c:axId val="1942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209280"/>
        <c:crosses val="autoZero"/>
        <c:crossBetween val="midCat"/>
      </c:valAx>
      <c:valAx>
        <c:axId val="1942092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2077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[0]!x_s7_c6</c:f>
              <c:numCache>
                <c:formatCode>General</c:formatCode>
                <c:ptCount val="10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  <c:pt idx="9">
                  <c:v>55.4</c:v>
                </c:pt>
              </c:numCache>
            </c:numRef>
          </c:xVal>
          <c:yVal>
            <c:numRef>
              <c:f>[0]!y_s7_c6</c:f>
              <c:numCache>
                <c:formatCode>General</c:formatCode>
                <c:ptCount val="10"/>
                <c:pt idx="0">
                  <c:v>8.9453697534976708</c:v>
                </c:pt>
                <c:pt idx="1">
                  <c:v>10.205862758161199</c:v>
                </c:pt>
                <c:pt idx="2">
                  <c:v>10.6675549633578</c:v>
                </c:pt>
                <c:pt idx="3">
                  <c:v>10.836109260493</c:v>
                </c:pt>
                <c:pt idx="4">
                  <c:v>10.902065289806799</c:v>
                </c:pt>
                <c:pt idx="5">
                  <c:v>10.836109260493</c:v>
                </c:pt>
                <c:pt idx="6">
                  <c:v>10.601598934044</c:v>
                </c:pt>
                <c:pt idx="7">
                  <c:v>10.073950699533601</c:v>
                </c:pt>
                <c:pt idx="8">
                  <c:v>8.2784810126582293</c:v>
                </c:pt>
                <c:pt idx="9">
                  <c:v>6.9813457694870102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46528"/>
        <c:axId val="194248064"/>
      </c:scatterChart>
      <c:valAx>
        <c:axId val="19424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248064"/>
        <c:crosses val="autoZero"/>
        <c:crossBetween val="midCat"/>
      </c:valAx>
      <c:valAx>
        <c:axId val="1942480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2465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[0]!x_s7_c5</c:f>
              <c:numCache>
                <c:formatCode>General</c:formatCode>
                <c:ptCount val="10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  <c:pt idx="9">
                  <c:v>55.4</c:v>
                </c:pt>
              </c:numCache>
            </c:numRef>
          </c:xVal>
          <c:yVal>
            <c:numRef>
              <c:f>[0]!y_s7_c5</c:f>
              <c:numCache>
                <c:formatCode>General</c:formatCode>
                <c:ptCount val="10"/>
                <c:pt idx="0">
                  <c:v>8.7768154563624297</c:v>
                </c:pt>
                <c:pt idx="1">
                  <c:v>10.073950699533601</c:v>
                </c:pt>
                <c:pt idx="2">
                  <c:v>10.601598934044</c:v>
                </c:pt>
                <c:pt idx="3">
                  <c:v>10.799467021985301</c:v>
                </c:pt>
                <c:pt idx="4">
                  <c:v>10.872751499000699</c:v>
                </c:pt>
                <c:pt idx="5">
                  <c:v>10.799467021985301</c:v>
                </c:pt>
                <c:pt idx="6">
                  <c:v>10.601598934044</c:v>
                </c:pt>
                <c:pt idx="7">
                  <c:v>10.037308461026001</c:v>
                </c:pt>
                <c:pt idx="8">
                  <c:v>8.3077948034643594</c:v>
                </c:pt>
                <c:pt idx="9">
                  <c:v>7.0106595602931403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73280"/>
        <c:axId val="194274816"/>
      </c:scatterChart>
      <c:valAx>
        <c:axId val="19427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274816"/>
        <c:crosses val="autoZero"/>
        <c:crossBetween val="midCat"/>
      </c:valAx>
      <c:valAx>
        <c:axId val="1942748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2732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[0]!x_s7_c4</c:f>
              <c:numCache>
                <c:formatCode>General</c:formatCode>
                <c:ptCount val="9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</c:numCache>
            </c:numRef>
          </c:xVal>
          <c:yVal>
            <c:numRef>
              <c:f>[0]!y_s7_c4</c:f>
              <c:numCache>
                <c:formatCode>General</c:formatCode>
                <c:ptCount val="9"/>
                <c:pt idx="0">
                  <c:v>8.5789473684210495</c:v>
                </c:pt>
                <c:pt idx="1">
                  <c:v>9.9420386409060608</c:v>
                </c:pt>
                <c:pt idx="2">
                  <c:v>10.5063291139241</c:v>
                </c:pt>
                <c:pt idx="3">
                  <c:v>10.7041972018654</c:v>
                </c:pt>
                <c:pt idx="4">
                  <c:v>10.770153231179201</c:v>
                </c:pt>
                <c:pt idx="5">
                  <c:v>10.6382411725516</c:v>
                </c:pt>
                <c:pt idx="6">
                  <c:v>10.4696868754164</c:v>
                </c:pt>
                <c:pt idx="7">
                  <c:v>9.9053964023984005</c:v>
                </c:pt>
                <c:pt idx="8">
                  <c:v>8.2125249833444407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12064"/>
        <c:axId val="194313600"/>
      </c:scatterChart>
      <c:valAx>
        <c:axId val="19431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313600"/>
        <c:crosses val="autoZero"/>
        <c:crossBetween val="midCat"/>
      </c:valAx>
      <c:valAx>
        <c:axId val="1943136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312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[0]!x_s7_c3</c:f>
              <c:numCache>
                <c:formatCode>General</c:formatCode>
                <c:ptCount val="9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</c:numCache>
            </c:numRef>
          </c:xVal>
          <c:yVal>
            <c:numRef>
              <c:f>[0]!y_s7_c3</c:f>
              <c:numCache>
                <c:formatCode>General</c:formatCode>
                <c:ptCount val="9"/>
                <c:pt idx="0">
                  <c:v>7.64823451032645</c:v>
                </c:pt>
                <c:pt idx="1">
                  <c:v>9.9420386409060608</c:v>
                </c:pt>
                <c:pt idx="2">
                  <c:v>10.4696868754164</c:v>
                </c:pt>
                <c:pt idx="3">
                  <c:v>10.7041972018654</c:v>
                </c:pt>
                <c:pt idx="4">
                  <c:v>10.7041972018654</c:v>
                </c:pt>
                <c:pt idx="5">
                  <c:v>10.572285143237799</c:v>
                </c:pt>
                <c:pt idx="6">
                  <c:v>10.4696868754164</c:v>
                </c:pt>
                <c:pt idx="7">
                  <c:v>8.8427714856762201</c:v>
                </c:pt>
                <c:pt idx="8">
                  <c:v>7.51632245169887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35552"/>
        <c:axId val="195737088"/>
      </c:scatterChart>
      <c:valAx>
        <c:axId val="1957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737088"/>
        <c:crosses val="autoZero"/>
        <c:crossBetween val="midCat"/>
      </c:valAx>
      <c:valAx>
        <c:axId val="195737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7355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[0]!x_s7_c2</c:f>
              <c:numCache>
                <c:formatCode>General</c:formatCode>
                <c:ptCount val="10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  <c:pt idx="9">
                  <c:v>55.4</c:v>
                </c:pt>
              </c:numCache>
            </c:numRef>
          </c:xVal>
          <c:yVal>
            <c:numRef>
              <c:f>[0]!y_s7_c2</c:f>
              <c:numCache>
                <c:formatCode>General</c:formatCode>
                <c:ptCount val="10"/>
                <c:pt idx="0">
                  <c:v>8.2418387741505708</c:v>
                </c:pt>
                <c:pt idx="1">
                  <c:v>9.8687541638907401</c:v>
                </c:pt>
                <c:pt idx="2">
                  <c:v>10.4696868754164</c:v>
                </c:pt>
                <c:pt idx="3">
                  <c:v>10.7041972018654</c:v>
                </c:pt>
                <c:pt idx="4">
                  <c:v>10.770153231179201</c:v>
                </c:pt>
                <c:pt idx="5">
                  <c:v>10.7041972018654</c:v>
                </c:pt>
                <c:pt idx="6">
                  <c:v>10.535642904730199</c:v>
                </c:pt>
                <c:pt idx="7">
                  <c:v>10.037308461026001</c:v>
                </c:pt>
                <c:pt idx="8">
                  <c:v>8.0146568954030695</c:v>
                </c:pt>
                <c:pt idx="9">
                  <c:v>6.6149233844103899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66144"/>
        <c:axId val="195767680"/>
      </c:scatterChart>
      <c:valAx>
        <c:axId val="19576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767680"/>
        <c:crosses val="autoZero"/>
        <c:crossBetween val="midCat"/>
      </c:valAx>
      <c:valAx>
        <c:axId val="1957676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766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[0]!x_s7_c1</c:f>
              <c:numCache>
                <c:formatCode>General</c:formatCode>
                <c:ptCount val="10"/>
                <c:pt idx="0">
                  <c:v>52.25</c:v>
                </c:pt>
                <c:pt idx="1">
                  <c:v>52.6</c:v>
                </c:pt>
                <c:pt idx="2">
                  <c:v>52.95</c:v>
                </c:pt>
                <c:pt idx="3">
                  <c:v>53.3</c:v>
                </c:pt>
                <c:pt idx="4">
                  <c:v>53.65</c:v>
                </c:pt>
                <c:pt idx="5">
                  <c:v>54</c:v>
                </c:pt>
                <c:pt idx="6">
                  <c:v>54.35</c:v>
                </c:pt>
                <c:pt idx="7">
                  <c:v>54.7</c:v>
                </c:pt>
                <c:pt idx="8">
                  <c:v>55.05</c:v>
                </c:pt>
                <c:pt idx="9">
                  <c:v>55.4</c:v>
                </c:pt>
              </c:numCache>
            </c:numRef>
          </c:xVal>
          <c:yVal>
            <c:numRef>
              <c:f>[0]!y_s7_c1</c:f>
              <c:numCache>
                <c:formatCode>General</c:formatCode>
                <c:ptCount val="10"/>
                <c:pt idx="0">
                  <c:v>7.6115922718187896</c:v>
                </c:pt>
                <c:pt idx="1">
                  <c:v>9.5389740173217898</c:v>
                </c:pt>
                <c:pt idx="2">
                  <c:v>10.3377748167888</c:v>
                </c:pt>
                <c:pt idx="3">
                  <c:v>10.535642904730199</c:v>
                </c:pt>
                <c:pt idx="4">
                  <c:v>10.6382411725516</c:v>
                </c:pt>
                <c:pt idx="5">
                  <c:v>10.601598934044</c:v>
                </c:pt>
                <c:pt idx="6">
                  <c:v>10.4696868754164</c:v>
                </c:pt>
                <c:pt idx="7">
                  <c:v>10.1399067288474</c:v>
                </c:pt>
                <c:pt idx="8">
                  <c:v>8.2784810126582293</c:v>
                </c:pt>
                <c:pt idx="9">
                  <c:v>7.4430379746835502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96992"/>
        <c:axId val="195798528"/>
      </c:scatterChart>
      <c:valAx>
        <c:axId val="19579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798528"/>
        <c:crosses val="autoZero"/>
        <c:crossBetween val="midCat"/>
      </c:valAx>
      <c:valAx>
        <c:axId val="1957985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7969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3967306718239167"/>
                  <c:y val="-3.8242656853822922E-2"/>
                </c:manualLayout>
              </c:layout>
              <c:numFmt formatCode="General" sourceLinked="0"/>
            </c:trendlineLbl>
          </c:trendline>
          <c:xVal>
            <c:numRef>
              <c:f>'Sensor 7'!$S$3:$S$14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7'!$R$3:$R$14</c:f>
              <c:numCache>
                <c:formatCode>General</c:formatCode>
                <c:ptCount val="12"/>
                <c:pt idx="0">
                  <c:v>53.344532403609527</c:v>
                </c:pt>
                <c:pt idx="1">
                  <c:v>53.314932843651647</c:v>
                </c:pt>
                <c:pt idx="2">
                  <c:v>53.348604002309038</c:v>
                </c:pt>
                <c:pt idx="3">
                  <c:v>53.409171345770702</c:v>
                </c:pt>
                <c:pt idx="4">
                  <c:v>53.480050973688996</c:v>
                </c:pt>
                <c:pt idx="5">
                  <c:v>53.53515835486882</c:v>
                </c:pt>
                <c:pt idx="6">
                  <c:v>53.577433636532369</c:v>
                </c:pt>
                <c:pt idx="7">
                  <c:v>53.603008784773046</c:v>
                </c:pt>
                <c:pt idx="8">
                  <c:v>53.616251204109979</c:v>
                </c:pt>
                <c:pt idx="9">
                  <c:v>53.593027716880627</c:v>
                </c:pt>
                <c:pt idx="10">
                  <c:v>53.637032414910834</c:v>
                </c:pt>
                <c:pt idx="11">
                  <c:v>53.748794411866143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20160"/>
        <c:axId val="195895680"/>
      </c:scatterChart>
      <c:valAx>
        <c:axId val="19582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895680"/>
        <c:crosses val="autoZero"/>
        <c:crossBetween val="midCat"/>
      </c:valAx>
      <c:valAx>
        <c:axId val="1958956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8201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[0]!x_s8_c12</c:f>
              <c:numCache>
                <c:formatCode>General</c:formatCode>
                <c:ptCount val="10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</c:numCache>
            </c:numRef>
          </c:xVal>
          <c:yVal>
            <c:numRef>
              <c:f>[0]!y_s8_c12</c:f>
              <c:numCache>
                <c:formatCode>General</c:formatCode>
                <c:ptCount val="10"/>
                <c:pt idx="0">
                  <c:v>9.9385847797062699</c:v>
                </c:pt>
                <c:pt idx="1">
                  <c:v>10.408544726301701</c:v>
                </c:pt>
                <c:pt idx="2">
                  <c:v>10.783044058745</c:v>
                </c:pt>
                <c:pt idx="3">
                  <c:v>10.915220293725</c:v>
                </c:pt>
                <c:pt idx="4">
                  <c:v>10.981308411214901</c:v>
                </c:pt>
                <c:pt idx="5">
                  <c:v>10.878504672897201</c:v>
                </c:pt>
                <c:pt idx="6">
                  <c:v>10.746328437917199</c:v>
                </c:pt>
                <c:pt idx="7">
                  <c:v>10.305740987984001</c:v>
                </c:pt>
                <c:pt idx="8">
                  <c:v>9.0280373831775709</c:v>
                </c:pt>
                <c:pt idx="9">
                  <c:v>6.9646194926568699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0208"/>
        <c:axId val="194111744"/>
      </c:scatterChart>
      <c:valAx>
        <c:axId val="19411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111744"/>
        <c:crosses val="autoZero"/>
        <c:crossBetween val="midCat"/>
      </c:valAx>
      <c:valAx>
        <c:axId val="1941117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4110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[0]!x_s8_c11</c:f>
              <c:numCache>
                <c:formatCode>General</c:formatCode>
                <c:ptCount val="10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</c:numCache>
            </c:numRef>
          </c:xVal>
          <c:yVal>
            <c:numRef>
              <c:f>[0]!y_s8_c11</c:f>
              <c:numCache>
                <c:formatCode>General</c:formatCode>
                <c:ptCount val="10"/>
                <c:pt idx="0">
                  <c:v>9.9679572763684892</c:v>
                </c:pt>
                <c:pt idx="1">
                  <c:v>10.371829105473999</c:v>
                </c:pt>
                <c:pt idx="2">
                  <c:v>10.7096128170894</c:v>
                </c:pt>
                <c:pt idx="3">
                  <c:v>10.849132176235001</c:v>
                </c:pt>
                <c:pt idx="4">
                  <c:v>10.878504672897201</c:v>
                </c:pt>
                <c:pt idx="5">
                  <c:v>10.746328437917199</c:v>
                </c:pt>
                <c:pt idx="6">
                  <c:v>10.643524699599499</c:v>
                </c:pt>
                <c:pt idx="7">
                  <c:v>10.1368491321762</c:v>
                </c:pt>
                <c:pt idx="8">
                  <c:v>8.8591455273698205</c:v>
                </c:pt>
                <c:pt idx="9">
                  <c:v>6.8324432576768999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2752"/>
        <c:axId val="195404544"/>
      </c:scatterChart>
      <c:valAx>
        <c:axId val="1954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404544"/>
        <c:crosses val="autoZero"/>
        <c:crossBetween val="midCat"/>
      </c:valAx>
      <c:valAx>
        <c:axId val="1954045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4027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[0]!x_s8_c10</c:f>
              <c:numCache>
                <c:formatCode>General</c:formatCode>
                <c:ptCount val="9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</c:numCache>
            </c:numRef>
          </c:xVal>
          <c:yVal>
            <c:numRef>
              <c:f>[0]!y_s8_c10</c:f>
              <c:numCache>
                <c:formatCode>General</c:formatCode>
                <c:ptCount val="9"/>
                <c:pt idx="0">
                  <c:v>9.3951935914552696</c:v>
                </c:pt>
                <c:pt idx="1">
                  <c:v>10.276368491321801</c:v>
                </c:pt>
                <c:pt idx="2">
                  <c:v>10.643524699599499</c:v>
                </c:pt>
                <c:pt idx="3">
                  <c:v>10.8124165554072</c:v>
                </c:pt>
                <c:pt idx="4">
                  <c:v>10.8124165554072</c:v>
                </c:pt>
                <c:pt idx="5">
                  <c:v>10.7096128170894</c:v>
                </c:pt>
                <c:pt idx="6">
                  <c:v>10.5113484646195</c:v>
                </c:pt>
                <c:pt idx="7">
                  <c:v>9.6668891855807697</c:v>
                </c:pt>
                <c:pt idx="8">
                  <c:v>8.8591455273698205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25408"/>
        <c:axId val="195426944"/>
      </c:scatterChart>
      <c:valAx>
        <c:axId val="1954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426944"/>
        <c:crosses val="autoZero"/>
        <c:crossBetween val="midCat"/>
      </c:valAx>
      <c:valAx>
        <c:axId val="1954269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4254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[0]!x_s8_c9</c:f>
              <c:numCache>
                <c:formatCode>General</c:formatCode>
                <c:ptCount val="9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</c:numCache>
            </c:numRef>
          </c:xVal>
          <c:yVal>
            <c:numRef>
              <c:f>[0]!y_s8_c9</c:f>
              <c:numCache>
                <c:formatCode>General</c:formatCode>
                <c:ptCount val="9"/>
                <c:pt idx="0">
                  <c:v>9.5640854472630092</c:v>
                </c:pt>
                <c:pt idx="1">
                  <c:v>10.173564753003999</c:v>
                </c:pt>
                <c:pt idx="2">
                  <c:v>10.577436582109501</c:v>
                </c:pt>
                <c:pt idx="3">
                  <c:v>10.746328437917199</c:v>
                </c:pt>
                <c:pt idx="4">
                  <c:v>10.8124165554072</c:v>
                </c:pt>
                <c:pt idx="5">
                  <c:v>10.7096128170894</c:v>
                </c:pt>
                <c:pt idx="6">
                  <c:v>10.6141522029372</c:v>
                </c:pt>
                <c:pt idx="7">
                  <c:v>9.9679572763684892</c:v>
                </c:pt>
                <c:pt idx="8">
                  <c:v>9.0941255006675501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59712"/>
        <c:axId val="195461504"/>
      </c:scatterChart>
      <c:valAx>
        <c:axId val="19545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461504"/>
        <c:crosses val="autoZero"/>
        <c:crossBetween val="midCat"/>
      </c:valAx>
      <c:valAx>
        <c:axId val="195461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459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[0]!x_s8_c8</c:f>
              <c:numCache>
                <c:formatCode>General</c:formatCode>
                <c:ptCount val="11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  <c:pt idx="10">
                  <c:v>64.400000000000006</c:v>
                </c:pt>
              </c:numCache>
            </c:numRef>
          </c:xVal>
          <c:yVal>
            <c:numRef>
              <c:f>[0]!y_s8_c8</c:f>
              <c:numCache>
                <c:formatCode>General</c:formatCode>
                <c:ptCount val="11"/>
                <c:pt idx="0">
                  <c:v>9.5347129506008006</c:v>
                </c:pt>
                <c:pt idx="1">
                  <c:v>10.1368491321762</c:v>
                </c:pt>
                <c:pt idx="2">
                  <c:v>10.5407209612817</c:v>
                </c:pt>
                <c:pt idx="3">
                  <c:v>10.746328437917199</c:v>
                </c:pt>
                <c:pt idx="4">
                  <c:v>10.783044058745</c:v>
                </c:pt>
                <c:pt idx="5">
                  <c:v>10.746328437917199</c:v>
                </c:pt>
                <c:pt idx="6">
                  <c:v>10.6141522029372</c:v>
                </c:pt>
                <c:pt idx="7">
                  <c:v>10.173564753003999</c:v>
                </c:pt>
                <c:pt idx="8">
                  <c:v>9.2263017356475192</c:v>
                </c:pt>
                <c:pt idx="9">
                  <c:v>6.7957276368491302</c:v>
                </c:pt>
                <c:pt idx="10">
                  <c:v>6.5313751668891804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90560"/>
        <c:axId val="195492096"/>
      </c:scatterChart>
      <c:valAx>
        <c:axId val="19549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492096"/>
        <c:crosses val="autoZero"/>
        <c:crossBetween val="midCat"/>
      </c:valAx>
      <c:valAx>
        <c:axId val="195492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4905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[0]!x_s8_c7</c:f>
              <c:numCache>
                <c:formatCode>General</c:formatCode>
                <c:ptCount val="10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</c:numCache>
            </c:numRef>
          </c:xVal>
          <c:yVal>
            <c:numRef>
              <c:f>[0]!y_s8_c7</c:f>
              <c:numCache>
                <c:formatCode>General</c:formatCode>
                <c:ptCount val="10"/>
                <c:pt idx="0">
                  <c:v>9.49799732977303</c:v>
                </c:pt>
                <c:pt idx="1">
                  <c:v>10.1368491321762</c:v>
                </c:pt>
                <c:pt idx="2">
                  <c:v>10.643524699599499</c:v>
                </c:pt>
                <c:pt idx="3">
                  <c:v>10.915220293725</c:v>
                </c:pt>
                <c:pt idx="4">
                  <c:v>11.047396528704899</c:v>
                </c:pt>
                <c:pt idx="5">
                  <c:v>11.0841121495327</c:v>
                </c:pt>
                <c:pt idx="6">
                  <c:v>10.849132176235001</c:v>
                </c:pt>
                <c:pt idx="7">
                  <c:v>10.7096128170894</c:v>
                </c:pt>
                <c:pt idx="8">
                  <c:v>9.9679572763684892</c:v>
                </c:pt>
                <c:pt idx="9">
                  <c:v>6.7296395193591403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29344"/>
        <c:axId val="195543424"/>
      </c:scatterChart>
      <c:valAx>
        <c:axId val="19552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543424"/>
        <c:crosses val="autoZero"/>
        <c:crossBetween val="midCat"/>
      </c:valAx>
      <c:valAx>
        <c:axId val="1955434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55293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[0]!x_s8_c6</c:f>
              <c:numCache>
                <c:formatCode>General</c:formatCode>
                <c:ptCount val="10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</c:numCache>
            </c:numRef>
          </c:xVal>
          <c:yVal>
            <c:numRef>
              <c:f>[0]!y_s8_c6</c:f>
              <c:numCache>
                <c:formatCode>General</c:formatCode>
                <c:ptCount val="10"/>
                <c:pt idx="0">
                  <c:v>9.4319092122830401</c:v>
                </c:pt>
                <c:pt idx="1">
                  <c:v>10.1368491321762</c:v>
                </c:pt>
                <c:pt idx="2">
                  <c:v>10.577436582109501</c:v>
                </c:pt>
                <c:pt idx="3">
                  <c:v>10.849132176235001</c:v>
                </c:pt>
                <c:pt idx="4">
                  <c:v>11.0180240320427</c:v>
                </c:pt>
                <c:pt idx="5">
                  <c:v>10.951935914552701</c:v>
                </c:pt>
                <c:pt idx="6">
                  <c:v>10.849132176235001</c:v>
                </c:pt>
                <c:pt idx="7">
                  <c:v>10.680240320427201</c:v>
                </c:pt>
                <c:pt idx="8">
                  <c:v>10.107476635514001</c:v>
                </c:pt>
                <c:pt idx="9">
                  <c:v>8.1835781041388493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098112"/>
        <c:axId val="215099648"/>
      </c:scatterChart>
      <c:valAx>
        <c:axId val="21509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5099648"/>
        <c:crosses val="autoZero"/>
        <c:crossBetween val="midCat"/>
      </c:valAx>
      <c:valAx>
        <c:axId val="2150996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15098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[0]!x_s8_c5</c:f>
              <c:numCache>
                <c:formatCode>General</c:formatCode>
                <c:ptCount val="10"/>
                <c:pt idx="0">
                  <c:v>60.9</c:v>
                </c:pt>
                <c:pt idx="1">
                  <c:v>61.25</c:v>
                </c:pt>
                <c:pt idx="2">
                  <c:v>61.6</c:v>
                </c:pt>
                <c:pt idx="3">
                  <c:v>61.95</c:v>
                </c:pt>
                <c:pt idx="4">
                  <c:v>62.3</c:v>
                </c:pt>
                <c:pt idx="5">
                  <c:v>62.65</c:v>
                </c:pt>
                <c:pt idx="6">
                  <c:v>63</c:v>
                </c:pt>
                <c:pt idx="7">
                  <c:v>63.35</c:v>
                </c:pt>
                <c:pt idx="8">
                  <c:v>63.7</c:v>
                </c:pt>
                <c:pt idx="9">
                  <c:v>64.05</c:v>
                </c:pt>
              </c:numCache>
            </c:numRef>
          </c:xVal>
          <c:yVal>
            <c:numRef>
              <c:f>[0]!y_s8_c5</c:f>
              <c:numCache>
                <c:formatCode>General</c:formatCode>
                <c:ptCount val="10"/>
                <c:pt idx="0">
                  <c:v>9.2263017356475192</c:v>
                </c:pt>
                <c:pt idx="1">
                  <c:v>9.9679572763684892</c:v>
                </c:pt>
                <c:pt idx="2">
                  <c:v>10.371829105473999</c:v>
                </c:pt>
                <c:pt idx="3">
                  <c:v>10.7096128170894</c:v>
                </c:pt>
                <c:pt idx="4">
                  <c:v>10.849132176235001</c:v>
                </c:pt>
                <c:pt idx="5">
                  <c:v>10.8124165554072</c:v>
                </c:pt>
                <c:pt idx="6">
                  <c:v>10.680240320427201</c:v>
                </c:pt>
                <c:pt idx="7">
                  <c:v>10.474632843791699</c:v>
                </c:pt>
                <c:pt idx="8">
                  <c:v>9.6008010680907798</c:v>
                </c:pt>
                <c:pt idx="9">
                  <c:v>7.9118825100133501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112320"/>
        <c:axId val="215126400"/>
      </c:scatterChart>
      <c:valAx>
        <c:axId val="21511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5126400"/>
        <c:crosses val="autoZero"/>
        <c:crossBetween val="midCat"/>
      </c:valAx>
      <c:valAx>
        <c:axId val="2151264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15112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[0]!x_s8_c4</c:f>
              <c:numCache>
                <c:formatCode>General</c:formatCode>
                <c:ptCount val="9"/>
                <c:pt idx="0">
                  <c:v>61.25</c:v>
                </c:pt>
                <c:pt idx="1">
                  <c:v>61.6</c:v>
                </c:pt>
                <c:pt idx="2">
                  <c:v>61.95</c:v>
                </c:pt>
                <c:pt idx="3">
                  <c:v>62.3</c:v>
                </c:pt>
                <c:pt idx="4">
                  <c:v>62.65</c:v>
                </c:pt>
                <c:pt idx="5">
                  <c:v>63</c:v>
                </c:pt>
                <c:pt idx="6">
                  <c:v>63.35</c:v>
                </c:pt>
                <c:pt idx="7">
                  <c:v>63.7</c:v>
                </c:pt>
                <c:pt idx="8">
                  <c:v>64.05</c:v>
                </c:pt>
              </c:numCache>
            </c:numRef>
          </c:xVal>
          <c:yVal>
            <c:numRef>
              <c:f>[0]!y_s8_c4</c:f>
              <c:numCache>
                <c:formatCode>General</c:formatCode>
                <c:ptCount val="9"/>
                <c:pt idx="0">
                  <c:v>9.7696929238985302</c:v>
                </c:pt>
                <c:pt idx="1">
                  <c:v>10.239652870494</c:v>
                </c:pt>
                <c:pt idx="2">
                  <c:v>10.577436582109501</c:v>
                </c:pt>
                <c:pt idx="3">
                  <c:v>10.680240320427201</c:v>
                </c:pt>
                <c:pt idx="4">
                  <c:v>10.7096128170894</c:v>
                </c:pt>
                <c:pt idx="5">
                  <c:v>10.577436582109501</c:v>
                </c:pt>
                <c:pt idx="6">
                  <c:v>10.0707610146862</c:v>
                </c:pt>
                <c:pt idx="7">
                  <c:v>9.2630173564753004</c:v>
                </c:pt>
                <c:pt idx="8">
                  <c:v>7.5080106809078702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84480"/>
        <c:axId val="196086016"/>
      </c:scatterChart>
      <c:valAx>
        <c:axId val="19608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086016"/>
        <c:crosses val="autoZero"/>
        <c:crossBetween val="midCat"/>
      </c:valAx>
      <c:valAx>
        <c:axId val="1960860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60844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[0]!x_s8_c3</c:f>
              <c:numCache>
                <c:formatCode>General</c:formatCode>
                <c:ptCount val="9"/>
                <c:pt idx="0">
                  <c:v>61.25</c:v>
                </c:pt>
                <c:pt idx="1">
                  <c:v>61.6</c:v>
                </c:pt>
                <c:pt idx="2">
                  <c:v>61.95</c:v>
                </c:pt>
                <c:pt idx="3">
                  <c:v>62.3</c:v>
                </c:pt>
                <c:pt idx="4">
                  <c:v>62.65</c:v>
                </c:pt>
                <c:pt idx="5">
                  <c:v>63</c:v>
                </c:pt>
                <c:pt idx="6">
                  <c:v>63.35</c:v>
                </c:pt>
                <c:pt idx="7">
                  <c:v>63.7</c:v>
                </c:pt>
                <c:pt idx="8">
                  <c:v>64.05</c:v>
                </c:pt>
              </c:numCache>
            </c:numRef>
          </c:xVal>
          <c:yVal>
            <c:numRef>
              <c:f>[0]!y_s8_c3</c:f>
              <c:numCache>
                <c:formatCode>General</c:formatCode>
                <c:ptCount val="9"/>
                <c:pt idx="0">
                  <c:v>9.7329773030707596</c:v>
                </c:pt>
                <c:pt idx="1">
                  <c:v>10.239652870494</c:v>
                </c:pt>
                <c:pt idx="2">
                  <c:v>10.577436582109501</c:v>
                </c:pt>
                <c:pt idx="3">
                  <c:v>10.680240320427201</c:v>
                </c:pt>
                <c:pt idx="4">
                  <c:v>10.680240320427201</c:v>
                </c:pt>
                <c:pt idx="5">
                  <c:v>10.6141522029372</c:v>
                </c:pt>
                <c:pt idx="6">
                  <c:v>10.276368491321801</c:v>
                </c:pt>
                <c:pt idx="7">
                  <c:v>9.2923898531375109</c:v>
                </c:pt>
                <c:pt idx="8">
                  <c:v>7.9485981308411198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19168"/>
        <c:axId val="196129152"/>
      </c:scatterChart>
      <c:valAx>
        <c:axId val="19611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129152"/>
        <c:crosses val="autoZero"/>
        <c:crossBetween val="midCat"/>
      </c:valAx>
      <c:valAx>
        <c:axId val="196129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61191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[0]!x_s8_c2</c:f>
              <c:numCache>
                <c:formatCode>General</c:formatCode>
                <c:ptCount val="9"/>
                <c:pt idx="0">
                  <c:v>61.25</c:v>
                </c:pt>
                <c:pt idx="1">
                  <c:v>61.6</c:v>
                </c:pt>
                <c:pt idx="2">
                  <c:v>61.95</c:v>
                </c:pt>
                <c:pt idx="3">
                  <c:v>62.3</c:v>
                </c:pt>
                <c:pt idx="4">
                  <c:v>62.65</c:v>
                </c:pt>
                <c:pt idx="5">
                  <c:v>63</c:v>
                </c:pt>
                <c:pt idx="6">
                  <c:v>63.35</c:v>
                </c:pt>
                <c:pt idx="7">
                  <c:v>63.7</c:v>
                </c:pt>
                <c:pt idx="8">
                  <c:v>64.05</c:v>
                </c:pt>
              </c:numCache>
            </c:numRef>
          </c:xVal>
          <c:yVal>
            <c:numRef>
              <c:f>[0]!y_s8_c2</c:f>
              <c:numCache>
                <c:formatCode>General</c:formatCode>
                <c:ptCount val="9"/>
                <c:pt idx="0">
                  <c:v>9.7036048064085403</c:v>
                </c:pt>
                <c:pt idx="1">
                  <c:v>10.2102803738318</c:v>
                </c:pt>
                <c:pt idx="2">
                  <c:v>10.5407209612817</c:v>
                </c:pt>
                <c:pt idx="3">
                  <c:v>10.7096128170894</c:v>
                </c:pt>
                <c:pt idx="4">
                  <c:v>10.746328437917199</c:v>
                </c:pt>
                <c:pt idx="5">
                  <c:v>10.643524699599499</c:v>
                </c:pt>
                <c:pt idx="6">
                  <c:v>10.371829105473999</c:v>
                </c:pt>
                <c:pt idx="7">
                  <c:v>9.6301735647529991</c:v>
                </c:pt>
                <c:pt idx="8">
                  <c:v>8.8591455273698205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66400"/>
        <c:axId val="196167936"/>
      </c:scatterChart>
      <c:valAx>
        <c:axId val="19616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167936"/>
        <c:crosses val="autoZero"/>
        <c:crossBetween val="midCat"/>
      </c:valAx>
      <c:valAx>
        <c:axId val="196167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6166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[0]!x_s8_c1</c:f>
              <c:numCache>
                <c:formatCode>General</c:formatCode>
                <c:ptCount val="9"/>
                <c:pt idx="0">
                  <c:v>61.25</c:v>
                </c:pt>
                <c:pt idx="1">
                  <c:v>61.6</c:v>
                </c:pt>
                <c:pt idx="2">
                  <c:v>61.95</c:v>
                </c:pt>
                <c:pt idx="3">
                  <c:v>62.3</c:v>
                </c:pt>
                <c:pt idx="4">
                  <c:v>62.65</c:v>
                </c:pt>
                <c:pt idx="5">
                  <c:v>63</c:v>
                </c:pt>
                <c:pt idx="6">
                  <c:v>63.35</c:v>
                </c:pt>
                <c:pt idx="7">
                  <c:v>63.7</c:v>
                </c:pt>
                <c:pt idx="8">
                  <c:v>64.05</c:v>
                </c:pt>
              </c:numCache>
            </c:numRef>
          </c:xVal>
          <c:yVal>
            <c:numRef>
              <c:f>[0]!y_s8_c1</c:f>
              <c:numCache>
                <c:formatCode>General</c:formatCode>
                <c:ptCount val="9"/>
                <c:pt idx="0">
                  <c:v>9.4319092122830401</c:v>
                </c:pt>
                <c:pt idx="1">
                  <c:v>10.041388518024</c:v>
                </c:pt>
                <c:pt idx="2">
                  <c:v>10.371829105473999</c:v>
                </c:pt>
                <c:pt idx="3">
                  <c:v>10.6141522029372</c:v>
                </c:pt>
                <c:pt idx="4">
                  <c:v>10.680240320427201</c:v>
                </c:pt>
                <c:pt idx="5">
                  <c:v>10.5407209612817</c:v>
                </c:pt>
                <c:pt idx="6">
                  <c:v>10.276368491321801</c:v>
                </c:pt>
                <c:pt idx="7">
                  <c:v>9.1969292389853106</c:v>
                </c:pt>
                <c:pt idx="8">
                  <c:v>8.6241655540720892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09280"/>
        <c:axId val="196211072"/>
      </c:scatterChart>
      <c:valAx>
        <c:axId val="19620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211072"/>
        <c:crosses val="autoZero"/>
        <c:crossBetween val="midCat"/>
      </c:valAx>
      <c:valAx>
        <c:axId val="1962110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962092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0458534788414606"/>
                  <c:y val="-8.3709888022791126E-2"/>
                </c:manualLayout>
              </c:layout>
              <c:numFmt formatCode="General" sourceLinked="0"/>
            </c:trendlineLbl>
          </c:trendline>
          <c:xVal>
            <c:numRef>
              <c:f>'Sensor 8'!$S$3:$S$14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'Sensor 8'!$R$3:$R$14</c:f>
              <c:numCache>
                <c:formatCode>General</c:formatCode>
                <c:ptCount val="12"/>
                <c:pt idx="0">
                  <c:v>62.142701149425264</c:v>
                </c:pt>
                <c:pt idx="1">
                  <c:v>62.110191700496138</c:v>
                </c:pt>
                <c:pt idx="2">
                  <c:v>62.183783655600173</c:v>
                </c:pt>
                <c:pt idx="3">
                  <c:v>62.223895726207552</c:v>
                </c:pt>
                <c:pt idx="4">
                  <c:v>62.203065184761599</c:v>
                </c:pt>
                <c:pt idx="5">
                  <c:v>62.281898437499954</c:v>
                </c:pt>
                <c:pt idx="6">
                  <c:v>62.365272251308866</c:v>
                </c:pt>
                <c:pt idx="7">
                  <c:v>62.342893175074153</c:v>
                </c:pt>
                <c:pt idx="8">
                  <c:v>62.35709021639741</c:v>
                </c:pt>
                <c:pt idx="9">
                  <c:v>62.390624585158619</c:v>
                </c:pt>
                <c:pt idx="10">
                  <c:v>62.478134328358202</c:v>
                </c:pt>
                <c:pt idx="11">
                  <c:v>62.484522847954523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00288"/>
        <c:axId val="215501824"/>
      </c:scatterChart>
      <c:valAx>
        <c:axId val="21550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5501824"/>
        <c:crosses val="autoZero"/>
        <c:crossBetween val="midCat"/>
      </c:valAx>
      <c:valAx>
        <c:axId val="2155018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155002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12212920753326886"/>
                  <c:y val="-7.9814822142207101E-2"/>
                </c:manualLayout>
              </c:layout>
              <c:numFmt formatCode="General" sourceLinked="0"/>
            </c:trendlineLbl>
          </c:trendline>
          <c:xVal>
            <c:numRef>
              <c:f>'averaged line fit'!$C$3:$C$14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xVal>
          <c:yVal>
            <c:numRef>
              <c:f>'averaged line fit'!$B$3:$B$14</c:f>
              <c:numCache>
                <c:formatCode>General</c:formatCode>
                <c:ptCount val="12"/>
                <c:pt idx="0">
                  <c:v>31.036554753666053</c:v>
                </c:pt>
                <c:pt idx="1">
                  <c:v>31.068373722842377</c:v>
                </c:pt>
                <c:pt idx="2">
                  <c:v>31.127267764157022</c:v>
                </c:pt>
                <c:pt idx="3">
                  <c:v>31.192928974772258</c:v>
                </c:pt>
                <c:pt idx="4">
                  <c:v>31.241119066887123</c:v>
                </c:pt>
                <c:pt idx="5">
                  <c:v>31.261984196196792</c:v>
                </c:pt>
                <c:pt idx="6">
                  <c:v>31.277535858053476</c:v>
                </c:pt>
                <c:pt idx="7">
                  <c:v>31.314440613393565</c:v>
                </c:pt>
                <c:pt idx="8">
                  <c:v>31.342007294363796</c:v>
                </c:pt>
                <c:pt idx="9">
                  <c:v>31.381662252868075</c:v>
                </c:pt>
                <c:pt idx="10">
                  <c:v>31.424395841109714</c:v>
                </c:pt>
                <c:pt idx="11">
                  <c:v>31.496624648470274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167360"/>
        <c:axId val="215168896"/>
      </c:scatterChart>
      <c:valAx>
        <c:axId val="21516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5168896"/>
        <c:crosses val="autoZero"/>
        <c:crossBetween val="midCat"/>
      </c:valAx>
      <c:valAx>
        <c:axId val="2151688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2151673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13" Type="http://schemas.openxmlformats.org/officeDocument/2006/relationships/chart" Target="../charts/chart104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12" Type="http://schemas.openxmlformats.org/officeDocument/2006/relationships/chart" Target="../charts/chart103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11" Type="http://schemas.openxmlformats.org/officeDocument/2006/relationships/chart" Target="../charts/chart102.xml"/><Relationship Id="rId5" Type="http://schemas.openxmlformats.org/officeDocument/2006/relationships/chart" Target="../charts/chart96.xml"/><Relationship Id="rId10" Type="http://schemas.openxmlformats.org/officeDocument/2006/relationships/chart" Target="../charts/chart101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371476</xdr:colOff>
      <xdr:row>36</xdr:row>
      <xdr:rowOff>9525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219075</xdr:colOff>
      <xdr:row>2</xdr:row>
      <xdr:rowOff>0</xdr:rowOff>
    </xdr:from>
    <xdr:to>
      <xdr:col>22</xdr:col>
      <xdr:colOff>561975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342900</xdr:colOff>
      <xdr:row>11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6"/>
  <sheetViews>
    <sheetView workbookViewId="0"/>
  </sheetViews>
  <sheetFormatPr defaultRowHeight="15" x14ac:dyDescent="0.25"/>
  <cols>
    <col min="1" max="1" width="28.5703125" bestFit="1" customWidth="1"/>
    <col min="2" max="2" width="6.85546875" bestFit="1" customWidth="1"/>
    <col min="3" max="3" width="7.5703125" bestFit="1" customWidth="1"/>
    <col min="4" max="4" width="9" bestFit="1" customWidth="1"/>
    <col min="5" max="5" width="4.7109375" bestFit="1" customWidth="1"/>
    <col min="6" max="7" width="12.7109375" bestFit="1" customWidth="1"/>
  </cols>
  <sheetData>
    <row r="1" spans="1:6" x14ac:dyDescent="0.25">
      <c r="A1" t="s">
        <v>14</v>
      </c>
      <c r="B1" t="s">
        <v>9</v>
      </c>
      <c r="C1" t="s">
        <v>10</v>
      </c>
      <c r="D1" t="s">
        <v>2</v>
      </c>
      <c r="E1" t="s">
        <v>3</v>
      </c>
      <c r="F1" t="s">
        <v>11</v>
      </c>
    </row>
    <row r="2" spans="1:6" x14ac:dyDescent="0.25">
      <c r="A2" t="s">
        <v>13</v>
      </c>
      <c r="B2">
        <v>0</v>
      </c>
      <c r="C2">
        <v>11</v>
      </c>
      <c r="D2">
        <v>-2.1</v>
      </c>
      <c r="E2">
        <v>-107</v>
      </c>
      <c r="F2">
        <v>8.5266022436965496</v>
      </c>
    </row>
    <row r="3" spans="1:6" x14ac:dyDescent="0.25">
      <c r="A3" t="s">
        <v>13</v>
      </c>
      <c r="B3">
        <v>0</v>
      </c>
      <c r="C3">
        <v>11</v>
      </c>
      <c r="D3">
        <v>-1.75</v>
      </c>
      <c r="E3">
        <v>-107</v>
      </c>
      <c r="F3">
        <v>9.3989781184049797</v>
      </c>
    </row>
    <row r="4" spans="1:6" x14ac:dyDescent="0.25">
      <c r="A4" t="s">
        <v>13</v>
      </c>
      <c r="B4">
        <v>0</v>
      </c>
      <c r="C4">
        <v>11</v>
      </c>
      <c r="D4">
        <v>-1.4</v>
      </c>
      <c r="E4">
        <v>-107</v>
      </c>
      <c r="F4">
        <v>9.9048095079418008</v>
      </c>
    </row>
    <row r="5" spans="1:6" x14ac:dyDescent="0.25">
      <c r="A5" t="s">
        <v>13</v>
      </c>
      <c r="B5">
        <v>0</v>
      </c>
      <c r="C5">
        <v>11</v>
      </c>
      <c r="D5">
        <v>-1.05</v>
      </c>
      <c r="E5">
        <v>-107</v>
      </c>
      <c r="F5">
        <v>10.271353993113401</v>
      </c>
    </row>
    <row r="6" spans="1:6" x14ac:dyDescent="0.25">
      <c r="A6" t="s">
        <v>13</v>
      </c>
      <c r="B6">
        <v>0</v>
      </c>
      <c r="C6">
        <v>11</v>
      </c>
      <c r="D6">
        <v>-0.7</v>
      </c>
      <c r="E6">
        <v>-107</v>
      </c>
      <c r="F6">
        <v>10.5425969121404</v>
      </c>
    </row>
    <row r="7" spans="1:6" x14ac:dyDescent="0.25">
      <c r="A7" t="s">
        <v>13</v>
      </c>
      <c r="B7">
        <v>0</v>
      </c>
      <c r="C7">
        <v>11</v>
      </c>
      <c r="D7">
        <v>-0.35</v>
      </c>
      <c r="E7">
        <v>-107</v>
      </c>
      <c r="F7">
        <v>10.579251360657601</v>
      </c>
    </row>
    <row r="8" spans="1:6" x14ac:dyDescent="0.25">
      <c r="A8" t="s">
        <v>13</v>
      </c>
      <c r="B8">
        <v>0</v>
      </c>
      <c r="C8">
        <v>11</v>
      </c>
      <c r="D8" s="1">
        <v>-4.4408920985006301E-16</v>
      </c>
      <c r="E8">
        <v>-107</v>
      </c>
      <c r="F8">
        <v>10.579251360657601</v>
      </c>
    </row>
    <row r="9" spans="1:6" x14ac:dyDescent="0.25">
      <c r="A9" t="s">
        <v>13</v>
      </c>
      <c r="B9">
        <v>0</v>
      </c>
      <c r="C9">
        <v>11</v>
      </c>
      <c r="D9">
        <v>0.35</v>
      </c>
      <c r="E9">
        <v>-107</v>
      </c>
      <c r="F9">
        <v>10.513273353326699</v>
      </c>
    </row>
    <row r="10" spans="1:6" x14ac:dyDescent="0.25">
      <c r="A10" t="s">
        <v>13</v>
      </c>
      <c r="B10">
        <v>0</v>
      </c>
      <c r="C10">
        <v>11</v>
      </c>
      <c r="D10">
        <v>0.7</v>
      </c>
      <c r="E10">
        <v>-107</v>
      </c>
      <c r="F10">
        <v>10.410640897478601</v>
      </c>
    </row>
    <row r="11" spans="1:6" x14ac:dyDescent="0.25">
      <c r="A11" t="s">
        <v>13</v>
      </c>
      <c r="B11">
        <v>0</v>
      </c>
      <c r="C11">
        <v>11</v>
      </c>
      <c r="D11">
        <v>1.05</v>
      </c>
      <c r="E11">
        <v>-107</v>
      </c>
      <c r="F11">
        <v>10.0734199711207</v>
      </c>
    </row>
    <row r="12" spans="1:6" x14ac:dyDescent="0.25">
      <c r="A12" t="s">
        <v>13</v>
      </c>
      <c r="B12">
        <v>0</v>
      </c>
      <c r="C12">
        <v>11</v>
      </c>
      <c r="D12">
        <v>1.4</v>
      </c>
      <c r="E12">
        <v>-107</v>
      </c>
      <c r="F12">
        <v>8.6585582583583296</v>
      </c>
    </row>
    <row r="13" spans="1:6" x14ac:dyDescent="0.25">
      <c r="A13" t="s">
        <v>13</v>
      </c>
      <c r="B13">
        <v>0</v>
      </c>
      <c r="C13">
        <v>11</v>
      </c>
      <c r="D13">
        <v>1.75</v>
      </c>
      <c r="E13">
        <v>-107</v>
      </c>
      <c r="F13">
        <v>4.3479951127402003</v>
      </c>
    </row>
    <row r="14" spans="1:6" x14ac:dyDescent="0.25">
      <c r="A14" t="s">
        <v>13</v>
      </c>
      <c r="B14">
        <v>0</v>
      </c>
      <c r="C14">
        <v>11</v>
      </c>
      <c r="D14">
        <v>2.1</v>
      </c>
      <c r="E14">
        <v>-107</v>
      </c>
      <c r="F14">
        <v>3.1970454293013399</v>
      </c>
    </row>
    <row r="15" spans="1:6" x14ac:dyDescent="0.25">
      <c r="A15" t="s">
        <v>13</v>
      </c>
      <c r="B15">
        <v>1</v>
      </c>
      <c r="C15">
        <v>11</v>
      </c>
      <c r="D15">
        <v>6.9</v>
      </c>
      <c r="E15">
        <v>-107</v>
      </c>
      <c r="F15">
        <v>3.2661326212728099</v>
      </c>
    </row>
    <row r="16" spans="1:6" x14ac:dyDescent="0.25">
      <c r="A16" t="s">
        <v>13</v>
      </c>
      <c r="B16">
        <v>1</v>
      </c>
      <c r="C16">
        <v>11</v>
      </c>
      <c r="D16">
        <v>7.25</v>
      </c>
      <c r="E16">
        <v>-107</v>
      </c>
      <c r="F16">
        <v>8.6706720071206007</v>
      </c>
    </row>
    <row r="17" spans="1:6" x14ac:dyDescent="0.25">
      <c r="A17" t="s">
        <v>13</v>
      </c>
      <c r="B17">
        <v>1</v>
      </c>
      <c r="C17">
        <v>11</v>
      </c>
      <c r="D17">
        <v>7.6</v>
      </c>
      <c r="E17">
        <v>-107</v>
      </c>
      <c r="F17">
        <v>9.5004450378282108</v>
      </c>
    </row>
    <row r="18" spans="1:6" x14ac:dyDescent="0.25">
      <c r="A18" t="s">
        <v>13</v>
      </c>
      <c r="B18">
        <v>1</v>
      </c>
      <c r="C18">
        <v>11</v>
      </c>
      <c r="D18">
        <v>7.95</v>
      </c>
      <c r="E18">
        <v>-107</v>
      </c>
      <c r="F18">
        <v>9.9997774810858893</v>
      </c>
    </row>
    <row r="19" spans="1:6" x14ac:dyDescent="0.25">
      <c r="A19" t="s">
        <v>13</v>
      </c>
      <c r="B19">
        <v>1</v>
      </c>
      <c r="C19">
        <v>11</v>
      </c>
      <c r="D19">
        <v>8.3000000000000007</v>
      </c>
      <c r="E19">
        <v>-107</v>
      </c>
      <c r="F19">
        <v>10.2714730752114</v>
      </c>
    </row>
    <row r="20" spans="1:6" x14ac:dyDescent="0.25">
      <c r="A20" t="s">
        <v>13</v>
      </c>
      <c r="B20">
        <v>1</v>
      </c>
      <c r="C20">
        <v>11</v>
      </c>
      <c r="D20">
        <v>8.65</v>
      </c>
      <c r="E20">
        <v>-107</v>
      </c>
      <c r="F20">
        <v>10.3008455718736</v>
      </c>
    </row>
    <row r="21" spans="1:6" x14ac:dyDescent="0.25">
      <c r="A21" t="s">
        <v>13</v>
      </c>
      <c r="B21">
        <v>1</v>
      </c>
      <c r="C21">
        <v>11</v>
      </c>
      <c r="D21">
        <v>9</v>
      </c>
      <c r="E21">
        <v>-107</v>
      </c>
      <c r="F21">
        <v>10.168669336893601</v>
      </c>
    </row>
    <row r="22" spans="1:6" x14ac:dyDescent="0.25">
      <c r="A22" t="s">
        <v>13</v>
      </c>
      <c r="B22">
        <v>1</v>
      </c>
      <c r="C22">
        <v>11</v>
      </c>
      <c r="D22">
        <v>9.35</v>
      </c>
      <c r="E22">
        <v>-107</v>
      </c>
      <c r="F22">
        <v>9.8676012461059202</v>
      </c>
    </row>
    <row r="23" spans="1:6" x14ac:dyDescent="0.25">
      <c r="A23" t="s">
        <v>13</v>
      </c>
      <c r="B23">
        <v>1</v>
      </c>
      <c r="C23">
        <v>11</v>
      </c>
      <c r="D23">
        <v>9.6999999999999993</v>
      </c>
      <c r="E23">
        <v>-107</v>
      </c>
      <c r="F23">
        <v>9.3021806853582607</v>
      </c>
    </row>
    <row r="24" spans="1:6" x14ac:dyDescent="0.25">
      <c r="A24" t="s">
        <v>13</v>
      </c>
      <c r="B24">
        <v>1</v>
      </c>
      <c r="C24">
        <v>11</v>
      </c>
      <c r="D24">
        <v>10.050000000000001</v>
      </c>
      <c r="E24">
        <v>-107</v>
      </c>
      <c r="F24">
        <v>7.4663996439697398</v>
      </c>
    </row>
    <row r="25" spans="1:6" x14ac:dyDescent="0.25">
      <c r="A25" t="s">
        <v>13</v>
      </c>
      <c r="B25">
        <v>1</v>
      </c>
      <c r="C25">
        <v>11</v>
      </c>
      <c r="D25">
        <v>10.4</v>
      </c>
      <c r="E25">
        <v>-107</v>
      </c>
      <c r="F25">
        <v>5.5351579884290203</v>
      </c>
    </row>
    <row r="26" spans="1:6" x14ac:dyDescent="0.25">
      <c r="A26" t="s">
        <v>13</v>
      </c>
      <c r="B26">
        <v>1</v>
      </c>
      <c r="C26">
        <v>11</v>
      </c>
      <c r="D26">
        <v>10.75</v>
      </c>
      <c r="E26">
        <v>-107</v>
      </c>
      <c r="F26">
        <v>3.0384957721406298</v>
      </c>
    </row>
    <row r="27" spans="1:6" x14ac:dyDescent="0.25">
      <c r="A27" t="s">
        <v>13</v>
      </c>
      <c r="B27">
        <v>1</v>
      </c>
      <c r="C27">
        <v>11</v>
      </c>
      <c r="D27">
        <v>11.1</v>
      </c>
      <c r="E27">
        <v>-107</v>
      </c>
      <c r="F27">
        <v>2.96506453048509</v>
      </c>
    </row>
    <row r="28" spans="1:6" x14ac:dyDescent="0.25">
      <c r="A28" t="s">
        <v>13</v>
      </c>
      <c r="B28">
        <v>2</v>
      </c>
      <c r="C28">
        <v>11</v>
      </c>
      <c r="D28">
        <v>15.9</v>
      </c>
      <c r="E28">
        <v>-107</v>
      </c>
      <c r="F28">
        <v>3.08177777777777</v>
      </c>
    </row>
    <row r="29" spans="1:6" x14ac:dyDescent="0.25">
      <c r="A29" t="s">
        <v>13</v>
      </c>
      <c r="B29">
        <v>2</v>
      </c>
      <c r="C29">
        <v>11</v>
      </c>
      <c r="D29">
        <v>16.25</v>
      </c>
      <c r="E29">
        <v>-107</v>
      </c>
      <c r="F29">
        <v>3.0524444444444399</v>
      </c>
    </row>
    <row r="30" spans="1:6" x14ac:dyDescent="0.25">
      <c r="A30" t="s">
        <v>13</v>
      </c>
      <c r="B30">
        <v>2</v>
      </c>
      <c r="C30">
        <v>11</v>
      </c>
      <c r="D30">
        <v>16.600000000000001</v>
      </c>
      <c r="E30">
        <v>-107</v>
      </c>
      <c r="F30">
        <v>7.2324444444444396</v>
      </c>
    </row>
    <row r="31" spans="1:6" x14ac:dyDescent="0.25">
      <c r="A31" t="s">
        <v>13</v>
      </c>
      <c r="B31">
        <v>2</v>
      </c>
      <c r="C31">
        <v>11</v>
      </c>
      <c r="D31">
        <v>16.95</v>
      </c>
      <c r="E31">
        <v>-107</v>
      </c>
      <c r="F31">
        <v>9.9531111111111095</v>
      </c>
    </row>
    <row r="32" spans="1:6" x14ac:dyDescent="0.25">
      <c r="A32" t="s">
        <v>13</v>
      </c>
      <c r="B32">
        <v>2</v>
      </c>
      <c r="C32">
        <v>11</v>
      </c>
      <c r="D32">
        <v>17.3</v>
      </c>
      <c r="E32">
        <v>-107</v>
      </c>
      <c r="F32">
        <v>10.283111111111101</v>
      </c>
    </row>
    <row r="33" spans="1:6" x14ac:dyDescent="0.25">
      <c r="A33" t="s">
        <v>13</v>
      </c>
      <c r="B33">
        <v>2</v>
      </c>
      <c r="C33">
        <v>11</v>
      </c>
      <c r="D33">
        <v>17.649999999999999</v>
      </c>
      <c r="E33">
        <v>-107</v>
      </c>
      <c r="F33">
        <v>10.3857777777778</v>
      </c>
    </row>
    <row r="34" spans="1:6" x14ac:dyDescent="0.25">
      <c r="A34" t="s">
        <v>13</v>
      </c>
      <c r="B34">
        <v>2</v>
      </c>
      <c r="C34">
        <v>11</v>
      </c>
      <c r="D34">
        <v>18</v>
      </c>
      <c r="E34">
        <v>-107</v>
      </c>
      <c r="F34">
        <v>10.283111111111101</v>
      </c>
    </row>
    <row r="35" spans="1:6" x14ac:dyDescent="0.25">
      <c r="A35" t="s">
        <v>13</v>
      </c>
      <c r="B35">
        <v>2</v>
      </c>
      <c r="C35">
        <v>11</v>
      </c>
      <c r="D35">
        <v>18.350000000000001</v>
      </c>
      <c r="E35">
        <v>-107</v>
      </c>
      <c r="F35">
        <v>10.151111111111099</v>
      </c>
    </row>
    <row r="36" spans="1:6" x14ac:dyDescent="0.25">
      <c r="A36" t="s">
        <v>13</v>
      </c>
      <c r="B36">
        <v>2</v>
      </c>
      <c r="C36">
        <v>11</v>
      </c>
      <c r="D36">
        <v>18.7</v>
      </c>
      <c r="E36">
        <v>-107</v>
      </c>
      <c r="F36">
        <v>9.5864444444444405</v>
      </c>
    </row>
    <row r="37" spans="1:6" x14ac:dyDescent="0.25">
      <c r="A37" t="s">
        <v>13</v>
      </c>
      <c r="B37">
        <v>2</v>
      </c>
      <c r="C37">
        <v>11</v>
      </c>
      <c r="D37">
        <v>19.05</v>
      </c>
      <c r="E37">
        <v>-107</v>
      </c>
      <c r="F37">
        <v>7.1664444444444397</v>
      </c>
    </row>
    <row r="38" spans="1:6" x14ac:dyDescent="0.25">
      <c r="A38" t="s">
        <v>13</v>
      </c>
      <c r="B38">
        <v>2</v>
      </c>
      <c r="C38">
        <v>11</v>
      </c>
      <c r="D38">
        <v>19.399999999999999</v>
      </c>
      <c r="E38">
        <v>-107</v>
      </c>
      <c r="F38">
        <v>2.51711111111111</v>
      </c>
    </row>
    <row r="39" spans="1:6" x14ac:dyDescent="0.25">
      <c r="A39" t="s">
        <v>13</v>
      </c>
      <c r="B39">
        <v>2</v>
      </c>
      <c r="C39">
        <v>11</v>
      </c>
      <c r="D39">
        <v>19.75</v>
      </c>
      <c r="E39">
        <v>-107</v>
      </c>
      <c r="F39">
        <v>2.9204444444444402</v>
      </c>
    </row>
    <row r="40" spans="1:6" x14ac:dyDescent="0.25">
      <c r="A40" t="s">
        <v>13</v>
      </c>
      <c r="B40">
        <v>2</v>
      </c>
      <c r="C40">
        <v>11</v>
      </c>
      <c r="D40">
        <v>20.100000000000001</v>
      </c>
      <c r="E40">
        <v>-107</v>
      </c>
      <c r="F40">
        <v>3.0524444444444399</v>
      </c>
    </row>
    <row r="41" spans="1:6" x14ac:dyDescent="0.25">
      <c r="A41" t="s">
        <v>13</v>
      </c>
      <c r="B41">
        <v>3</v>
      </c>
      <c r="C41">
        <v>11</v>
      </c>
      <c r="D41">
        <v>24.9</v>
      </c>
      <c r="E41">
        <v>-107</v>
      </c>
      <c r="F41">
        <v>3.10336778926309</v>
      </c>
    </row>
    <row r="42" spans="1:6" x14ac:dyDescent="0.25">
      <c r="A42" t="s">
        <v>13</v>
      </c>
      <c r="B42">
        <v>3</v>
      </c>
      <c r="C42">
        <v>11</v>
      </c>
      <c r="D42">
        <v>25.25</v>
      </c>
      <c r="E42">
        <v>-107</v>
      </c>
      <c r="F42">
        <v>6.9546515505168403</v>
      </c>
    </row>
    <row r="43" spans="1:6" x14ac:dyDescent="0.25">
      <c r="A43" t="s">
        <v>13</v>
      </c>
      <c r="B43">
        <v>3</v>
      </c>
      <c r="C43">
        <v>11</v>
      </c>
      <c r="D43">
        <v>25.6</v>
      </c>
      <c r="E43">
        <v>-107</v>
      </c>
      <c r="F43">
        <v>9.4781593864621598</v>
      </c>
    </row>
    <row r="44" spans="1:6" x14ac:dyDescent="0.25">
      <c r="A44" t="s">
        <v>13</v>
      </c>
      <c r="B44">
        <v>3</v>
      </c>
      <c r="C44">
        <v>11</v>
      </c>
      <c r="D44">
        <v>25.95</v>
      </c>
      <c r="E44">
        <v>-107</v>
      </c>
      <c r="F44">
        <v>10.380460153384499</v>
      </c>
    </row>
    <row r="45" spans="1:6" x14ac:dyDescent="0.25">
      <c r="A45" t="s">
        <v>13</v>
      </c>
      <c r="B45">
        <v>3</v>
      </c>
      <c r="C45">
        <v>11</v>
      </c>
      <c r="D45">
        <v>26.3</v>
      </c>
      <c r="E45">
        <v>-107</v>
      </c>
      <c r="F45">
        <v>10.541847282427501</v>
      </c>
    </row>
    <row r="46" spans="1:6" x14ac:dyDescent="0.25">
      <c r="A46" t="s">
        <v>13</v>
      </c>
      <c r="B46">
        <v>3</v>
      </c>
      <c r="C46">
        <v>11</v>
      </c>
      <c r="D46">
        <v>26.65</v>
      </c>
      <c r="E46">
        <v>-107</v>
      </c>
      <c r="F46">
        <v>10.578526175391801</v>
      </c>
    </row>
    <row r="47" spans="1:6" x14ac:dyDescent="0.25">
      <c r="A47" t="s">
        <v>13</v>
      </c>
      <c r="B47">
        <v>3</v>
      </c>
      <c r="C47">
        <v>11</v>
      </c>
      <c r="D47">
        <v>27</v>
      </c>
      <c r="E47">
        <v>-107</v>
      </c>
      <c r="F47">
        <v>10.512504168055999</v>
      </c>
    </row>
    <row r="48" spans="1:6" x14ac:dyDescent="0.25">
      <c r="A48" t="s">
        <v>13</v>
      </c>
      <c r="B48">
        <v>3</v>
      </c>
      <c r="C48">
        <v>11</v>
      </c>
      <c r="D48">
        <v>27.35</v>
      </c>
      <c r="E48">
        <v>-107</v>
      </c>
      <c r="F48">
        <v>10.3437812604201</v>
      </c>
    </row>
    <row r="49" spans="1:6" x14ac:dyDescent="0.25">
      <c r="A49" t="s">
        <v>13</v>
      </c>
      <c r="B49">
        <v>3</v>
      </c>
      <c r="C49">
        <v>11</v>
      </c>
      <c r="D49">
        <v>27.7</v>
      </c>
      <c r="E49">
        <v>-107</v>
      </c>
      <c r="F49">
        <v>9.8156052017339199</v>
      </c>
    </row>
    <row r="50" spans="1:6" x14ac:dyDescent="0.25">
      <c r="A50" t="s">
        <v>13</v>
      </c>
      <c r="B50">
        <v>3</v>
      </c>
      <c r="C50">
        <v>11</v>
      </c>
      <c r="D50">
        <v>28.05</v>
      </c>
      <c r="E50">
        <v>-107</v>
      </c>
      <c r="F50">
        <v>8.0183394464821696</v>
      </c>
    </row>
    <row r="51" spans="1:6" x14ac:dyDescent="0.25">
      <c r="A51" t="s">
        <v>13</v>
      </c>
      <c r="B51">
        <v>3</v>
      </c>
      <c r="C51">
        <v>11</v>
      </c>
      <c r="D51">
        <v>28.4</v>
      </c>
      <c r="E51">
        <v>-107</v>
      </c>
      <c r="F51">
        <v>2.8026008669556601</v>
      </c>
    </row>
    <row r="52" spans="1:6" x14ac:dyDescent="0.25">
      <c r="A52" t="s">
        <v>13</v>
      </c>
      <c r="B52">
        <v>3</v>
      </c>
      <c r="C52">
        <v>11</v>
      </c>
      <c r="D52">
        <v>28.75</v>
      </c>
      <c r="E52">
        <v>-107</v>
      </c>
      <c r="F52">
        <v>2.8979659886628899</v>
      </c>
    </row>
    <row r="53" spans="1:6" x14ac:dyDescent="0.25">
      <c r="A53" t="s">
        <v>13</v>
      </c>
      <c r="B53">
        <v>3</v>
      </c>
      <c r="C53">
        <v>11</v>
      </c>
      <c r="D53">
        <v>29.1</v>
      </c>
      <c r="E53">
        <v>-107</v>
      </c>
      <c r="F53">
        <v>3.0373457819273102</v>
      </c>
    </row>
    <row r="54" spans="1:6" x14ac:dyDescent="0.25">
      <c r="A54" t="s">
        <v>13</v>
      </c>
      <c r="B54">
        <v>4</v>
      </c>
      <c r="C54">
        <v>11</v>
      </c>
      <c r="D54">
        <v>33.9</v>
      </c>
      <c r="E54">
        <v>-107</v>
      </c>
      <c r="F54">
        <v>3.25180736291848</v>
      </c>
    </row>
    <row r="55" spans="1:6" x14ac:dyDescent="0.25">
      <c r="A55" t="s">
        <v>13</v>
      </c>
      <c r="B55">
        <v>4</v>
      </c>
      <c r="C55">
        <v>11</v>
      </c>
      <c r="D55">
        <v>34.25</v>
      </c>
      <c r="E55">
        <v>-107</v>
      </c>
      <c r="F55">
        <v>3.47936825714604</v>
      </c>
    </row>
    <row r="56" spans="1:6" x14ac:dyDescent="0.25">
      <c r="A56" t="s">
        <v>13</v>
      </c>
      <c r="B56">
        <v>4</v>
      </c>
      <c r="C56">
        <v>11</v>
      </c>
      <c r="D56">
        <v>34.6</v>
      </c>
      <c r="E56">
        <v>-107</v>
      </c>
      <c r="F56">
        <v>9.8510732955177396</v>
      </c>
    </row>
    <row r="57" spans="1:6" x14ac:dyDescent="0.25">
      <c r="A57" t="s">
        <v>13</v>
      </c>
      <c r="B57">
        <v>4</v>
      </c>
      <c r="C57">
        <v>11</v>
      </c>
      <c r="D57">
        <v>34.950000000000003</v>
      </c>
      <c r="E57">
        <v>-107</v>
      </c>
      <c r="F57">
        <v>10.416305194083</v>
      </c>
    </row>
    <row r="58" spans="1:6" x14ac:dyDescent="0.25">
      <c r="A58" t="s">
        <v>13</v>
      </c>
      <c r="B58">
        <v>4</v>
      </c>
      <c r="C58">
        <v>11</v>
      </c>
      <c r="D58">
        <v>35.299999999999997</v>
      </c>
      <c r="E58">
        <v>-107</v>
      </c>
      <c r="F58">
        <v>10.519074630185701</v>
      </c>
    </row>
    <row r="59" spans="1:6" x14ac:dyDescent="0.25">
      <c r="A59" t="s">
        <v>13</v>
      </c>
      <c r="B59">
        <v>4</v>
      </c>
      <c r="C59">
        <v>11</v>
      </c>
      <c r="D59">
        <v>35.65</v>
      </c>
      <c r="E59">
        <v>-107</v>
      </c>
      <c r="F59">
        <v>10.548437326215099</v>
      </c>
    </row>
    <row r="60" spans="1:6" x14ac:dyDescent="0.25">
      <c r="A60" t="s">
        <v>13</v>
      </c>
      <c r="B60">
        <v>4</v>
      </c>
      <c r="C60">
        <v>11</v>
      </c>
      <c r="D60">
        <v>36</v>
      </c>
      <c r="E60">
        <v>-107</v>
      </c>
      <c r="F60">
        <v>10.482371260149</v>
      </c>
    </row>
    <row r="61" spans="1:6" x14ac:dyDescent="0.25">
      <c r="A61" t="s">
        <v>13</v>
      </c>
      <c r="B61">
        <v>4</v>
      </c>
      <c r="C61">
        <v>11</v>
      </c>
      <c r="D61">
        <v>36.35</v>
      </c>
      <c r="E61">
        <v>-107</v>
      </c>
      <c r="F61">
        <v>10.3502391280169</v>
      </c>
    </row>
    <row r="62" spans="1:6" x14ac:dyDescent="0.25">
      <c r="A62" t="s">
        <v>13</v>
      </c>
      <c r="B62">
        <v>4</v>
      </c>
      <c r="C62">
        <v>11</v>
      </c>
      <c r="D62">
        <v>36.700000000000003</v>
      </c>
      <c r="E62">
        <v>-107</v>
      </c>
      <c r="F62">
        <v>8.4563452341230096</v>
      </c>
    </row>
    <row r="63" spans="1:6" x14ac:dyDescent="0.25">
      <c r="A63" t="s">
        <v>13</v>
      </c>
      <c r="B63">
        <v>4</v>
      </c>
      <c r="C63">
        <v>11</v>
      </c>
      <c r="D63">
        <v>37.049999999999997</v>
      </c>
      <c r="E63">
        <v>-107</v>
      </c>
      <c r="F63">
        <v>2.5177399621844101</v>
      </c>
    </row>
    <row r="64" spans="1:6" x14ac:dyDescent="0.25">
      <c r="A64" t="s">
        <v>13</v>
      </c>
      <c r="B64">
        <v>4</v>
      </c>
      <c r="C64">
        <v>11</v>
      </c>
      <c r="D64">
        <v>37.4</v>
      </c>
      <c r="E64">
        <v>-107</v>
      </c>
      <c r="F64">
        <v>2.8187075964853801</v>
      </c>
    </row>
    <row r="65" spans="1:6" x14ac:dyDescent="0.25">
      <c r="A65" t="s">
        <v>13</v>
      </c>
      <c r="B65">
        <v>4</v>
      </c>
      <c r="C65">
        <v>11</v>
      </c>
      <c r="D65">
        <v>37.75</v>
      </c>
      <c r="E65">
        <v>-107</v>
      </c>
      <c r="F65">
        <v>3.0829718607496401</v>
      </c>
    </row>
    <row r="66" spans="1:6" x14ac:dyDescent="0.25">
      <c r="A66" t="s">
        <v>13</v>
      </c>
      <c r="B66">
        <v>4</v>
      </c>
      <c r="C66">
        <v>11</v>
      </c>
      <c r="D66">
        <v>38.1</v>
      </c>
      <c r="E66">
        <v>-107</v>
      </c>
      <c r="F66">
        <v>3.1857412968524099</v>
      </c>
    </row>
    <row r="67" spans="1:6" x14ac:dyDescent="0.25">
      <c r="A67" t="s">
        <v>13</v>
      </c>
      <c r="B67">
        <v>5</v>
      </c>
      <c r="C67">
        <v>11</v>
      </c>
      <c r="D67">
        <v>42.9</v>
      </c>
      <c r="E67">
        <v>-107</v>
      </c>
      <c r="F67">
        <v>3.3183222958057401</v>
      </c>
    </row>
    <row r="68" spans="1:6" x14ac:dyDescent="0.25">
      <c r="A68" t="s">
        <v>13</v>
      </c>
      <c r="B68">
        <v>5</v>
      </c>
      <c r="C68">
        <v>11</v>
      </c>
      <c r="D68">
        <v>43.25</v>
      </c>
      <c r="E68">
        <v>-107</v>
      </c>
      <c r="F68">
        <v>3.4494481236203098</v>
      </c>
    </row>
    <row r="69" spans="1:6" x14ac:dyDescent="0.25">
      <c r="A69" t="s">
        <v>13</v>
      </c>
      <c r="B69">
        <v>5</v>
      </c>
      <c r="C69">
        <v>11</v>
      </c>
      <c r="D69">
        <v>43.6</v>
      </c>
      <c r="E69">
        <v>-107</v>
      </c>
      <c r="F69">
        <v>9.6779249448123608</v>
      </c>
    </row>
    <row r="70" spans="1:6" x14ac:dyDescent="0.25">
      <c r="A70" t="s">
        <v>13</v>
      </c>
      <c r="B70">
        <v>5</v>
      </c>
      <c r="C70">
        <v>11</v>
      </c>
      <c r="D70">
        <v>43.95</v>
      </c>
      <c r="E70">
        <v>-107</v>
      </c>
      <c r="F70">
        <v>10.4355408388521</v>
      </c>
    </row>
    <row r="71" spans="1:6" x14ac:dyDescent="0.25">
      <c r="A71" t="s">
        <v>13</v>
      </c>
      <c r="B71">
        <v>5</v>
      </c>
      <c r="C71">
        <v>11</v>
      </c>
      <c r="D71">
        <v>44.3</v>
      </c>
      <c r="E71">
        <v>-107</v>
      </c>
      <c r="F71">
        <v>10.595805739514301</v>
      </c>
    </row>
    <row r="72" spans="1:6" x14ac:dyDescent="0.25">
      <c r="A72" t="s">
        <v>13</v>
      </c>
      <c r="B72">
        <v>5</v>
      </c>
      <c r="C72">
        <v>11</v>
      </c>
      <c r="D72">
        <v>44.65</v>
      </c>
      <c r="E72">
        <v>-107</v>
      </c>
      <c r="F72">
        <v>10.5666666666667</v>
      </c>
    </row>
    <row r="73" spans="1:6" x14ac:dyDescent="0.25">
      <c r="A73" t="s">
        <v>13</v>
      </c>
      <c r="B73">
        <v>5</v>
      </c>
      <c r="C73">
        <v>11</v>
      </c>
      <c r="D73">
        <v>45</v>
      </c>
      <c r="E73">
        <v>-107</v>
      </c>
      <c r="F73">
        <v>10.4646799116998</v>
      </c>
    </row>
    <row r="74" spans="1:6" x14ac:dyDescent="0.25">
      <c r="A74" t="s">
        <v>13</v>
      </c>
      <c r="B74">
        <v>5</v>
      </c>
      <c r="C74">
        <v>11</v>
      </c>
      <c r="D74">
        <v>45.35</v>
      </c>
      <c r="E74">
        <v>-107</v>
      </c>
      <c r="F74">
        <v>10.0713024282561</v>
      </c>
    </row>
    <row r="75" spans="1:6" x14ac:dyDescent="0.25">
      <c r="A75" t="s">
        <v>13</v>
      </c>
      <c r="B75">
        <v>5</v>
      </c>
      <c r="C75">
        <v>11</v>
      </c>
      <c r="D75">
        <v>45.7</v>
      </c>
      <c r="E75">
        <v>-107</v>
      </c>
      <c r="F75">
        <v>8.6871964679911695</v>
      </c>
    </row>
    <row r="76" spans="1:6" x14ac:dyDescent="0.25">
      <c r="A76" t="s">
        <v>13</v>
      </c>
      <c r="B76">
        <v>5</v>
      </c>
      <c r="C76">
        <v>11</v>
      </c>
      <c r="D76">
        <v>46.05</v>
      </c>
      <c r="E76">
        <v>-107</v>
      </c>
      <c r="F76">
        <v>3.2527593818984499</v>
      </c>
    </row>
    <row r="77" spans="1:6" x14ac:dyDescent="0.25">
      <c r="A77" t="s">
        <v>13</v>
      </c>
      <c r="B77">
        <v>5</v>
      </c>
      <c r="C77">
        <v>11</v>
      </c>
      <c r="D77">
        <v>46.4</v>
      </c>
      <c r="E77">
        <v>-107</v>
      </c>
      <c r="F77">
        <v>2.9905077262693101</v>
      </c>
    </row>
    <row r="78" spans="1:6" x14ac:dyDescent="0.25">
      <c r="A78" t="s">
        <v>13</v>
      </c>
      <c r="B78">
        <v>5</v>
      </c>
      <c r="C78">
        <v>11</v>
      </c>
      <c r="D78">
        <v>46.75</v>
      </c>
      <c r="E78">
        <v>-107</v>
      </c>
      <c r="F78">
        <v>3.18719646799117</v>
      </c>
    </row>
    <row r="79" spans="1:6" x14ac:dyDescent="0.25">
      <c r="A79" t="s">
        <v>13</v>
      </c>
      <c r="B79">
        <v>5</v>
      </c>
      <c r="C79">
        <v>11</v>
      </c>
      <c r="D79">
        <v>47.1</v>
      </c>
      <c r="E79">
        <v>-107</v>
      </c>
      <c r="F79">
        <v>3.3183222958057401</v>
      </c>
    </row>
    <row r="80" spans="1:6" x14ac:dyDescent="0.25">
      <c r="A80" t="s">
        <v>13</v>
      </c>
      <c r="B80">
        <v>6</v>
      </c>
      <c r="C80">
        <v>11</v>
      </c>
      <c r="D80">
        <v>51.9</v>
      </c>
      <c r="E80">
        <v>-107</v>
      </c>
      <c r="F80">
        <v>8.5423051299133892</v>
      </c>
    </row>
    <row r="81" spans="1:6" x14ac:dyDescent="0.25">
      <c r="A81" t="s">
        <v>13</v>
      </c>
      <c r="B81">
        <v>6</v>
      </c>
      <c r="C81">
        <v>11</v>
      </c>
      <c r="D81">
        <v>52.25</v>
      </c>
      <c r="E81">
        <v>-107</v>
      </c>
      <c r="F81">
        <v>10.007994670219899</v>
      </c>
    </row>
    <row r="82" spans="1:6" x14ac:dyDescent="0.25">
      <c r="A82" t="s">
        <v>13</v>
      </c>
      <c r="B82">
        <v>6</v>
      </c>
      <c r="C82">
        <v>11</v>
      </c>
      <c r="D82">
        <v>52.6</v>
      </c>
      <c r="E82">
        <v>-107</v>
      </c>
      <c r="F82">
        <v>10.572285143237799</v>
      </c>
    </row>
    <row r="83" spans="1:6" x14ac:dyDescent="0.25">
      <c r="A83" t="s">
        <v>13</v>
      </c>
      <c r="B83">
        <v>6</v>
      </c>
      <c r="C83">
        <v>11</v>
      </c>
      <c r="D83">
        <v>52.95</v>
      </c>
      <c r="E83">
        <v>-107</v>
      </c>
      <c r="F83">
        <v>10.770153231179201</v>
      </c>
    </row>
    <row r="84" spans="1:6" x14ac:dyDescent="0.25">
      <c r="A84" t="s">
        <v>13</v>
      </c>
      <c r="B84">
        <v>6</v>
      </c>
      <c r="C84">
        <v>11</v>
      </c>
      <c r="D84">
        <v>53.3</v>
      </c>
      <c r="E84">
        <v>-107</v>
      </c>
      <c r="F84">
        <v>10.872751499000699</v>
      </c>
    </row>
    <row r="85" spans="1:6" x14ac:dyDescent="0.25">
      <c r="A85" t="s">
        <v>13</v>
      </c>
      <c r="B85">
        <v>6</v>
      </c>
      <c r="C85">
        <v>11</v>
      </c>
      <c r="D85">
        <v>53.65</v>
      </c>
      <c r="E85">
        <v>-107</v>
      </c>
      <c r="F85">
        <v>10.799467021985301</v>
      </c>
    </row>
    <row r="86" spans="1:6" x14ac:dyDescent="0.25">
      <c r="A86" t="s">
        <v>13</v>
      </c>
      <c r="B86">
        <v>6</v>
      </c>
      <c r="C86">
        <v>11</v>
      </c>
      <c r="D86">
        <v>54</v>
      </c>
      <c r="E86">
        <v>-107</v>
      </c>
      <c r="F86">
        <v>10.6382411725516</v>
      </c>
    </row>
    <row r="87" spans="1:6" x14ac:dyDescent="0.25">
      <c r="A87" t="s">
        <v>13</v>
      </c>
      <c r="B87">
        <v>6</v>
      </c>
      <c r="C87">
        <v>11</v>
      </c>
      <c r="D87">
        <v>54.35</v>
      </c>
      <c r="E87">
        <v>-107</v>
      </c>
      <c r="F87">
        <v>10.3377748167888</v>
      </c>
    </row>
    <row r="88" spans="1:6" x14ac:dyDescent="0.25">
      <c r="A88" t="s">
        <v>13</v>
      </c>
      <c r="B88">
        <v>6</v>
      </c>
      <c r="C88">
        <v>11</v>
      </c>
      <c r="D88">
        <v>54.7</v>
      </c>
      <c r="E88">
        <v>-107</v>
      </c>
      <c r="F88">
        <v>8.6742171885409807</v>
      </c>
    </row>
    <row r="89" spans="1:6" x14ac:dyDescent="0.25">
      <c r="A89" t="s">
        <v>13</v>
      </c>
      <c r="B89">
        <v>6</v>
      </c>
      <c r="C89">
        <v>11</v>
      </c>
      <c r="D89">
        <v>55.05</v>
      </c>
      <c r="E89">
        <v>-107</v>
      </c>
      <c r="F89">
        <v>7.9120586275816098</v>
      </c>
    </row>
    <row r="90" spans="1:6" x14ac:dyDescent="0.25">
      <c r="A90" t="s">
        <v>13</v>
      </c>
      <c r="B90">
        <v>6</v>
      </c>
      <c r="C90">
        <v>11</v>
      </c>
      <c r="D90">
        <v>55.4</v>
      </c>
      <c r="E90">
        <v>-107</v>
      </c>
      <c r="F90">
        <v>3.2291805463024699</v>
      </c>
    </row>
    <row r="91" spans="1:6" x14ac:dyDescent="0.25">
      <c r="A91" t="s">
        <v>13</v>
      </c>
      <c r="B91">
        <v>6</v>
      </c>
      <c r="C91">
        <v>11</v>
      </c>
      <c r="D91">
        <v>55.75</v>
      </c>
      <c r="E91">
        <v>-107</v>
      </c>
      <c r="F91">
        <v>3.2291805463024699</v>
      </c>
    </row>
    <row r="92" spans="1:6" x14ac:dyDescent="0.25">
      <c r="A92" t="s">
        <v>13</v>
      </c>
      <c r="B92">
        <v>6</v>
      </c>
      <c r="C92">
        <v>11</v>
      </c>
      <c r="D92">
        <v>56.1</v>
      </c>
      <c r="E92">
        <v>-107</v>
      </c>
      <c r="F92">
        <v>3.3244503664223899</v>
      </c>
    </row>
    <row r="93" spans="1:6" x14ac:dyDescent="0.25">
      <c r="A93" t="s">
        <v>13</v>
      </c>
      <c r="B93">
        <v>7</v>
      </c>
      <c r="C93">
        <v>11</v>
      </c>
      <c r="D93">
        <v>60.9</v>
      </c>
      <c r="E93">
        <v>-107</v>
      </c>
      <c r="F93">
        <v>9.9385847797062699</v>
      </c>
    </row>
    <row r="94" spans="1:6" x14ac:dyDescent="0.25">
      <c r="A94" t="s">
        <v>13</v>
      </c>
      <c r="B94">
        <v>7</v>
      </c>
      <c r="C94">
        <v>11</v>
      </c>
      <c r="D94">
        <v>61.25</v>
      </c>
      <c r="E94">
        <v>-107</v>
      </c>
      <c r="F94">
        <v>10.408544726301701</v>
      </c>
    </row>
    <row r="95" spans="1:6" x14ac:dyDescent="0.25">
      <c r="A95" t="s">
        <v>13</v>
      </c>
      <c r="B95">
        <v>7</v>
      </c>
      <c r="C95">
        <v>11</v>
      </c>
      <c r="D95">
        <v>61.6</v>
      </c>
      <c r="E95">
        <v>-107</v>
      </c>
      <c r="F95">
        <v>10.783044058745</v>
      </c>
    </row>
    <row r="96" spans="1:6" x14ac:dyDescent="0.25">
      <c r="A96" t="s">
        <v>13</v>
      </c>
      <c r="B96">
        <v>7</v>
      </c>
      <c r="C96">
        <v>11</v>
      </c>
      <c r="D96">
        <v>61.95</v>
      </c>
      <c r="E96">
        <v>-107</v>
      </c>
      <c r="F96">
        <v>10.915220293725</v>
      </c>
    </row>
    <row r="97" spans="1:6" x14ac:dyDescent="0.25">
      <c r="A97" t="s">
        <v>13</v>
      </c>
      <c r="B97">
        <v>7</v>
      </c>
      <c r="C97">
        <v>11</v>
      </c>
      <c r="D97">
        <v>62.3</v>
      </c>
      <c r="E97">
        <v>-107</v>
      </c>
      <c r="F97">
        <v>10.981308411214901</v>
      </c>
    </row>
    <row r="98" spans="1:6" x14ac:dyDescent="0.25">
      <c r="A98" t="s">
        <v>13</v>
      </c>
      <c r="B98">
        <v>7</v>
      </c>
      <c r="C98">
        <v>11</v>
      </c>
      <c r="D98">
        <v>62.65</v>
      </c>
      <c r="E98">
        <v>-107</v>
      </c>
      <c r="F98">
        <v>10.878504672897201</v>
      </c>
    </row>
    <row r="99" spans="1:6" x14ac:dyDescent="0.25">
      <c r="A99" t="s">
        <v>13</v>
      </c>
      <c r="B99">
        <v>7</v>
      </c>
      <c r="C99">
        <v>11</v>
      </c>
      <c r="D99">
        <v>63</v>
      </c>
      <c r="E99">
        <v>-107</v>
      </c>
      <c r="F99">
        <v>10.746328437917199</v>
      </c>
    </row>
    <row r="100" spans="1:6" x14ac:dyDescent="0.25">
      <c r="A100" t="s">
        <v>13</v>
      </c>
      <c r="B100">
        <v>7</v>
      </c>
      <c r="C100">
        <v>11</v>
      </c>
      <c r="D100">
        <v>63.35</v>
      </c>
      <c r="E100">
        <v>-107</v>
      </c>
      <c r="F100">
        <v>10.305740987984001</v>
      </c>
    </row>
    <row r="101" spans="1:6" x14ac:dyDescent="0.25">
      <c r="A101" t="s">
        <v>13</v>
      </c>
      <c r="B101">
        <v>7</v>
      </c>
      <c r="C101">
        <v>11</v>
      </c>
      <c r="D101">
        <v>63.7</v>
      </c>
      <c r="E101">
        <v>-107</v>
      </c>
      <c r="F101">
        <v>9.0280373831775709</v>
      </c>
    </row>
    <row r="102" spans="1:6" x14ac:dyDescent="0.25">
      <c r="A102" t="s">
        <v>13</v>
      </c>
      <c r="B102">
        <v>7</v>
      </c>
      <c r="C102">
        <v>11</v>
      </c>
      <c r="D102">
        <v>64.05</v>
      </c>
      <c r="E102">
        <v>-107</v>
      </c>
      <c r="F102">
        <v>6.9646194926568699</v>
      </c>
    </row>
    <row r="103" spans="1:6" x14ac:dyDescent="0.25">
      <c r="A103" t="s">
        <v>13</v>
      </c>
      <c r="B103">
        <v>7</v>
      </c>
      <c r="C103">
        <v>11</v>
      </c>
      <c r="D103">
        <v>64.400000000000006</v>
      </c>
      <c r="E103">
        <v>-107</v>
      </c>
      <c r="F103">
        <v>6.2229639519359097</v>
      </c>
    </row>
    <row r="104" spans="1:6" x14ac:dyDescent="0.25">
      <c r="A104" t="s">
        <v>13</v>
      </c>
      <c r="B104">
        <v>7</v>
      </c>
      <c r="C104">
        <v>11</v>
      </c>
      <c r="D104">
        <v>64.75</v>
      </c>
      <c r="E104">
        <v>-107</v>
      </c>
      <c r="F104">
        <v>3.4546061415220199</v>
      </c>
    </row>
    <row r="105" spans="1:6" x14ac:dyDescent="0.25">
      <c r="A105" t="s">
        <v>13</v>
      </c>
      <c r="B105">
        <v>7</v>
      </c>
      <c r="C105">
        <v>11</v>
      </c>
      <c r="D105">
        <v>65.099999999999994</v>
      </c>
      <c r="E105">
        <v>-107</v>
      </c>
      <c r="F105">
        <v>3.4546061415220199</v>
      </c>
    </row>
    <row r="106" spans="1:6" x14ac:dyDescent="0.25">
      <c r="A106" t="s">
        <v>13</v>
      </c>
      <c r="B106">
        <v>0</v>
      </c>
      <c r="C106">
        <v>10</v>
      </c>
      <c r="D106">
        <v>-2.1</v>
      </c>
      <c r="E106">
        <v>-98</v>
      </c>
      <c r="F106">
        <v>8.0207708541597196</v>
      </c>
    </row>
    <row r="107" spans="1:6" x14ac:dyDescent="0.25">
      <c r="A107" t="s">
        <v>13</v>
      </c>
      <c r="B107">
        <v>0</v>
      </c>
      <c r="C107">
        <v>10</v>
      </c>
      <c r="D107">
        <v>-1.75</v>
      </c>
      <c r="E107">
        <v>-98</v>
      </c>
      <c r="F107">
        <v>8.9957791847162092</v>
      </c>
    </row>
    <row r="108" spans="1:6" x14ac:dyDescent="0.25">
      <c r="A108" t="s">
        <v>13</v>
      </c>
      <c r="B108">
        <v>0</v>
      </c>
      <c r="C108">
        <v>10</v>
      </c>
      <c r="D108">
        <v>-1.4</v>
      </c>
      <c r="E108">
        <v>-98</v>
      </c>
      <c r="F108">
        <v>9.7361990447628592</v>
      </c>
    </row>
    <row r="109" spans="1:6" x14ac:dyDescent="0.25">
      <c r="A109" t="s">
        <v>13</v>
      </c>
      <c r="B109">
        <v>0</v>
      </c>
      <c r="C109">
        <v>10</v>
      </c>
      <c r="D109">
        <v>-1.05</v>
      </c>
      <c r="E109">
        <v>-98</v>
      </c>
      <c r="F109">
        <v>10.205375985782499</v>
      </c>
    </row>
    <row r="110" spans="1:6" x14ac:dyDescent="0.25">
      <c r="A110" t="s">
        <v>13</v>
      </c>
      <c r="B110">
        <v>0</v>
      </c>
      <c r="C110">
        <v>10</v>
      </c>
      <c r="D110">
        <v>-0.7</v>
      </c>
      <c r="E110">
        <v>-98</v>
      </c>
      <c r="F110">
        <v>10.513273353326699</v>
      </c>
    </row>
    <row r="111" spans="1:6" x14ac:dyDescent="0.25">
      <c r="A111" t="s">
        <v>13</v>
      </c>
      <c r="B111">
        <v>0</v>
      </c>
      <c r="C111">
        <v>10</v>
      </c>
      <c r="D111">
        <v>-0.35</v>
      </c>
      <c r="E111">
        <v>-98</v>
      </c>
      <c r="F111">
        <v>10.513273353326699</v>
      </c>
    </row>
    <row r="112" spans="1:6" x14ac:dyDescent="0.25">
      <c r="A112" t="s">
        <v>13</v>
      </c>
      <c r="B112">
        <v>0</v>
      </c>
      <c r="C112">
        <v>10</v>
      </c>
      <c r="D112" s="1">
        <v>-4.4408920985006301E-16</v>
      </c>
      <c r="E112">
        <v>-98</v>
      </c>
      <c r="F112">
        <v>10.6085749194713</v>
      </c>
    </row>
    <row r="113" spans="1:6" x14ac:dyDescent="0.25">
      <c r="A113" t="s">
        <v>13</v>
      </c>
      <c r="B113">
        <v>0</v>
      </c>
      <c r="C113">
        <v>10</v>
      </c>
      <c r="D113">
        <v>0.35</v>
      </c>
      <c r="E113">
        <v>-98</v>
      </c>
      <c r="F113">
        <v>10.6085749194713</v>
      </c>
    </row>
    <row r="114" spans="1:6" x14ac:dyDescent="0.25">
      <c r="A114" t="s">
        <v>13</v>
      </c>
      <c r="B114">
        <v>0</v>
      </c>
      <c r="C114">
        <v>10</v>
      </c>
      <c r="D114">
        <v>0.7</v>
      </c>
      <c r="E114">
        <v>-98</v>
      </c>
      <c r="F114">
        <v>10.4766189048095</v>
      </c>
    </row>
    <row r="115" spans="1:6" x14ac:dyDescent="0.25">
      <c r="A115" t="s">
        <v>13</v>
      </c>
      <c r="B115">
        <v>0</v>
      </c>
      <c r="C115">
        <v>10</v>
      </c>
      <c r="D115">
        <v>1.05</v>
      </c>
      <c r="E115">
        <v>-98</v>
      </c>
      <c r="F115">
        <v>10.2420304342997</v>
      </c>
    </row>
    <row r="116" spans="1:6" x14ac:dyDescent="0.25">
      <c r="A116" t="s">
        <v>13</v>
      </c>
      <c r="B116">
        <v>0</v>
      </c>
      <c r="C116">
        <v>10</v>
      </c>
      <c r="D116">
        <v>1.4</v>
      </c>
      <c r="E116">
        <v>-98</v>
      </c>
      <c r="F116">
        <v>9.3989781184049797</v>
      </c>
    </row>
    <row r="117" spans="1:6" x14ac:dyDescent="0.25">
      <c r="A117" t="s">
        <v>13</v>
      </c>
      <c r="B117">
        <v>0</v>
      </c>
      <c r="C117">
        <v>10</v>
      </c>
      <c r="D117">
        <v>1.75</v>
      </c>
      <c r="E117">
        <v>-98</v>
      </c>
      <c r="F117">
        <v>7.3756525602576897</v>
      </c>
    </row>
    <row r="118" spans="1:6" x14ac:dyDescent="0.25">
      <c r="A118" t="s">
        <v>13</v>
      </c>
      <c r="B118">
        <v>0</v>
      </c>
      <c r="C118">
        <v>10</v>
      </c>
      <c r="D118">
        <v>2.1</v>
      </c>
      <c r="E118">
        <v>-98</v>
      </c>
      <c r="F118">
        <v>3.1970454293013399</v>
      </c>
    </row>
    <row r="119" spans="1:6" x14ac:dyDescent="0.25">
      <c r="A119" t="s">
        <v>13</v>
      </c>
      <c r="B119">
        <v>1</v>
      </c>
      <c r="C119">
        <v>10</v>
      </c>
      <c r="D119">
        <v>6.9</v>
      </c>
      <c r="E119">
        <v>-98</v>
      </c>
      <c r="F119">
        <v>2.96506453048509</v>
      </c>
    </row>
    <row r="120" spans="1:6" x14ac:dyDescent="0.25">
      <c r="A120" t="s">
        <v>13</v>
      </c>
      <c r="B120">
        <v>1</v>
      </c>
      <c r="C120">
        <v>10</v>
      </c>
      <c r="D120">
        <v>7.25</v>
      </c>
      <c r="E120">
        <v>-98</v>
      </c>
      <c r="F120">
        <v>3.1339563862928399</v>
      </c>
    </row>
    <row r="121" spans="1:6" x14ac:dyDescent="0.25">
      <c r="A121" t="s">
        <v>13</v>
      </c>
      <c r="B121">
        <v>1</v>
      </c>
      <c r="C121">
        <v>10</v>
      </c>
      <c r="D121">
        <v>7.6</v>
      </c>
      <c r="E121">
        <v>-98</v>
      </c>
      <c r="F121">
        <v>9.1993769470405002</v>
      </c>
    </row>
    <row r="122" spans="1:6" x14ac:dyDescent="0.25">
      <c r="A122" t="s">
        <v>13</v>
      </c>
      <c r="B122">
        <v>1</v>
      </c>
      <c r="C122">
        <v>10</v>
      </c>
      <c r="D122">
        <v>7.95</v>
      </c>
      <c r="E122">
        <v>-98</v>
      </c>
      <c r="F122">
        <v>9.8382287494437008</v>
      </c>
    </row>
    <row r="123" spans="1:6" x14ac:dyDescent="0.25">
      <c r="A123" t="s">
        <v>13</v>
      </c>
      <c r="B123">
        <v>1</v>
      </c>
      <c r="C123">
        <v>10</v>
      </c>
      <c r="D123">
        <v>8.3000000000000007</v>
      </c>
      <c r="E123">
        <v>-98</v>
      </c>
      <c r="F123">
        <v>10.2053849577214</v>
      </c>
    </row>
    <row r="124" spans="1:6" x14ac:dyDescent="0.25">
      <c r="A124" t="s">
        <v>13</v>
      </c>
      <c r="B124">
        <v>1</v>
      </c>
      <c r="C124">
        <v>10</v>
      </c>
      <c r="D124">
        <v>8.65</v>
      </c>
      <c r="E124">
        <v>-98</v>
      </c>
      <c r="F124">
        <v>10.2714730752114</v>
      </c>
    </row>
    <row r="125" spans="1:6" x14ac:dyDescent="0.25">
      <c r="A125" t="s">
        <v>13</v>
      </c>
      <c r="B125">
        <v>1</v>
      </c>
      <c r="C125">
        <v>10</v>
      </c>
      <c r="D125">
        <v>9</v>
      </c>
      <c r="E125">
        <v>-98</v>
      </c>
      <c r="F125">
        <v>10.2053849577214</v>
      </c>
    </row>
    <row r="126" spans="1:6" x14ac:dyDescent="0.25">
      <c r="A126" t="s">
        <v>13</v>
      </c>
      <c r="B126">
        <v>1</v>
      </c>
      <c r="C126">
        <v>10</v>
      </c>
      <c r="D126">
        <v>9.35</v>
      </c>
      <c r="E126">
        <v>-98</v>
      </c>
      <c r="F126">
        <v>10.0658655985759</v>
      </c>
    </row>
    <row r="127" spans="1:6" x14ac:dyDescent="0.25">
      <c r="A127" t="s">
        <v>13</v>
      </c>
      <c r="B127">
        <v>1</v>
      </c>
      <c r="C127">
        <v>10</v>
      </c>
      <c r="D127">
        <v>9.6999999999999993</v>
      </c>
      <c r="E127">
        <v>-98</v>
      </c>
      <c r="F127">
        <v>9.7721406319537198</v>
      </c>
    </row>
    <row r="128" spans="1:6" x14ac:dyDescent="0.25">
      <c r="A128" t="s">
        <v>13</v>
      </c>
      <c r="B128">
        <v>1</v>
      </c>
      <c r="C128">
        <v>10</v>
      </c>
      <c r="D128">
        <v>10.050000000000001</v>
      </c>
      <c r="E128">
        <v>-98</v>
      </c>
      <c r="F128">
        <v>8.5017801513128592</v>
      </c>
    </row>
    <row r="129" spans="1:6" x14ac:dyDescent="0.25">
      <c r="A129" t="s">
        <v>13</v>
      </c>
      <c r="B129">
        <v>1</v>
      </c>
      <c r="C129">
        <v>10</v>
      </c>
      <c r="D129">
        <v>10.4</v>
      </c>
      <c r="E129">
        <v>-98</v>
      </c>
      <c r="F129">
        <v>5.9023141967067199</v>
      </c>
    </row>
    <row r="130" spans="1:6" x14ac:dyDescent="0.25">
      <c r="A130" t="s">
        <v>13</v>
      </c>
      <c r="B130">
        <v>1</v>
      </c>
      <c r="C130">
        <v>10</v>
      </c>
      <c r="D130">
        <v>10.75</v>
      </c>
      <c r="E130">
        <v>-98</v>
      </c>
      <c r="F130">
        <v>3.06786826880285</v>
      </c>
    </row>
    <row r="131" spans="1:6" x14ac:dyDescent="0.25">
      <c r="A131" t="s">
        <v>13</v>
      </c>
      <c r="B131">
        <v>1</v>
      </c>
      <c r="C131">
        <v>10</v>
      </c>
      <c r="D131">
        <v>11.1</v>
      </c>
      <c r="E131">
        <v>-98</v>
      </c>
      <c r="F131">
        <v>2.9356920338228698</v>
      </c>
    </row>
    <row r="132" spans="1:6" x14ac:dyDescent="0.25">
      <c r="A132" t="s">
        <v>13</v>
      </c>
      <c r="B132">
        <v>2</v>
      </c>
      <c r="C132">
        <v>10</v>
      </c>
      <c r="D132">
        <v>15.9</v>
      </c>
      <c r="E132">
        <v>-98</v>
      </c>
      <c r="F132">
        <v>3.0157777777777701</v>
      </c>
    </row>
    <row r="133" spans="1:6" x14ac:dyDescent="0.25">
      <c r="A133" t="s">
        <v>13</v>
      </c>
      <c r="B133">
        <v>2</v>
      </c>
      <c r="C133">
        <v>10</v>
      </c>
      <c r="D133">
        <v>16.25</v>
      </c>
      <c r="E133">
        <v>-98</v>
      </c>
      <c r="F133">
        <v>2.98644444444444</v>
      </c>
    </row>
    <row r="134" spans="1:6" x14ac:dyDescent="0.25">
      <c r="A134" t="s">
        <v>13</v>
      </c>
      <c r="B134">
        <v>2</v>
      </c>
      <c r="C134">
        <v>10</v>
      </c>
      <c r="D134">
        <v>16.600000000000001</v>
      </c>
      <c r="E134">
        <v>-98</v>
      </c>
      <c r="F134">
        <v>3.28711111111111</v>
      </c>
    </row>
    <row r="135" spans="1:6" x14ac:dyDescent="0.25">
      <c r="A135" t="s">
        <v>13</v>
      </c>
      <c r="B135">
        <v>2</v>
      </c>
      <c r="C135">
        <v>10</v>
      </c>
      <c r="D135">
        <v>16.95</v>
      </c>
      <c r="E135">
        <v>-98</v>
      </c>
      <c r="F135">
        <v>9.8871111111111105</v>
      </c>
    </row>
    <row r="136" spans="1:6" x14ac:dyDescent="0.25">
      <c r="A136" t="s">
        <v>13</v>
      </c>
      <c r="B136">
        <v>2</v>
      </c>
      <c r="C136">
        <v>10</v>
      </c>
      <c r="D136">
        <v>17.3</v>
      </c>
      <c r="E136">
        <v>-98</v>
      </c>
      <c r="F136">
        <v>10.283111111111101</v>
      </c>
    </row>
    <row r="137" spans="1:6" x14ac:dyDescent="0.25">
      <c r="A137" t="s">
        <v>13</v>
      </c>
      <c r="B137">
        <v>2</v>
      </c>
      <c r="C137">
        <v>10</v>
      </c>
      <c r="D137">
        <v>17.649999999999999</v>
      </c>
      <c r="E137">
        <v>-98</v>
      </c>
      <c r="F137">
        <v>10.4151111111111</v>
      </c>
    </row>
    <row r="138" spans="1:6" x14ac:dyDescent="0.25">
      <c r="A138" t="s">
        <v>13</v>
      </c>
      <c r="B138">
        <v>2</v>
      </c>
      <c r="C138">
        <v>10</v>
      </c>
      <c r="D138">
        <v>18</v>
      </c>
      <c r="E138">
        <v>-98</v>
      </c>
      <c r="F138">
        <v>10.3857777777778</v>
      </c>
    </row>
    <row r="139" spans="1:6" x14ac:dyDescent="0.25">
      <c r="A139" t="s">
        <v>13</v>
      </c>
      <c r="B139">
        <v>2</v>
      </c>
      <c r="C139">
        <v>10</v>
      </c>
      <c r="D139">
        <v>18.350000000000001</v>
      </c>
      <c r="E139">
        <v>-98</v>
      </c>
      <c r="F139">
        <v>10.253777777777801</v>
      </c>
    </row>
    <row r="140" spans="1:6" x14ac:dyDescent="0.25">
      <c r="A140" t="s">
        <v>13</v>
      </c>
      <c r="B140">
        <v>2</v>
      </c>
      <c r="C140">
        <v>10</v>
      </c>
      <c r="D140">
        <v>18.7</v>
      </c>
      <c r="E140">
        <v>-98</v>
      </c>
      <c r="F140">
        <v>9.9897777777777694</v>
      </c>
    </row>
    <row r="141" spans="1:6" x14ac:dyDescent="0.25">
      <c r="A141" t="s">
        <v>13</v>
      </c>
      <c r="B141">
        <v>2</v>
      </c>
      <c r="C141">
        <v>10</v>
      </c>
      <c r="D141">
        <v>19.05</v>
      </c>
      <c r="E141">
        <v>-98</v>
      </c>
      <c r="F141">
        <v>8.09777777777777</v>
      </c>
    </row>
    <row r="142" spans="1:6" x14ac:dyDescent="0.25">
      <c r="A142" t="s">
        <v>13</v>
      </c>
      <c r="B142">
        <v>2</v>
      </c>
      <c r="C142">
        <v>10</v>
      </c>
      <c r="D142">
        <v>19.399999999999999</v>
      </c>
      <c r="E142">
        <v>-98</v>
      </c>
      <c r="F142">
        <v>2.7224444444444398</v>
      </c>
    </row>
    <row r="143" spans="1:6" x14ac:dyDescent="0.25">
      <c r="A143" t="s">
        <v>13</v>
      </c>
      <c r="B143">
        <v>2</v>
      </c>
      <c r="C143">
        <v>10</v>
      </c>
      <c r="D143">
        <v>19.75</v>
      </c>
      <c r="E143">
        <v>-98</v>
      </c>
      <c r="F143">
        <v>2.8177777777777702</v>
      </c>
    </row>
    <row r="144" spans="1:6" x14ac:dyDescent="0.25">
      <c r="A144" t="s">
        <v>13</v>
      </c>
      <c r="B144">
        <v>2</v>
      </c>
      <c r="C144">
        <v>10</v>
      </c>
      <c r="D144">
        <v>20.100000000000001</v>
      </c>
      <c r="E144">
        <v>-98</v>
      </c>
      <c r="F144">
        <v>2.9204444444444402</v>
      </c>
    </row>
    <row r="145" spans="1:6" x14ac:dyDescent="0.25">
      <c r="A145" t="s">
        <v>13</v>
      </c>
      <c r="B145">
        <v>3</v>
      </c>
      <c r="C145">
        <v>10</v>
      </c>
      <c r="D145">
        <v>24.9</v>
      </c>
      <c r="E145">
        <v>-98</v>
      </c>
      <c r="F145">
        <v>3.0006668889629902</v>
      </c>
    </row>
    <row r="146" spans="1:6" x14ac:dyDescent="0.25">
      <c r="A146" t="s">
        <v>13</v>
      </c>
      <c r="B146">
        <v>3</v>
      </c>
      <c r="C146">
        <v>10</v>
      </c>
      <c r="D146">
        <v>25.25</v>
      </c>
      <c r="E146">
        <v>-98</v>
      </c>
      <c r="F146">
        <v>3.23541180393465</v>
      </c>
    </row>
    <row r="147" spans="1:6" x14ac:dyDescent="0.25">
      <c r="A147" t="s">
        <v>13</v>
      </c>
      <c r="B147">
        <v>3</v>
      </c>
      <c r="C147">
        <v>10</v>
      </c>
      <c r="D147">
        <v>25.6</v>
      </c>
      <c r="E147">
        <v>-98</v>
      </c>
      <c r="F147">
        <v>9.2800933644548191</v>
      </c>
    </row>
    <row r="148" spans="1:6" x14ac:dyDescent="0.25">
      <c r="A148" t="s">
        <v>13</v>
      </c>
      <c r="B148">
        <v>3</v>
      </c>
      <c r="C148">
        <v>10</v>
      </c>
      <c r="D148">
        <v>25.95</v>
      </c>
      <c r="E148">
        <v>-98</v>
      </c>
      <c r="F148">
        <v>10.277759253084399</v>
      </c>
    </row>
    <row r="149" spans="1:6" x14ac:dyDescent="0.25">
      <c r="A149" t="s">
        <v>13</v>
      </c>
      <c r="B149">
        <v>3</v>
      </c>
      <c r="C149">
        <v>10</v>
      </c>
      <c r="D149">
        <v>26.3</v>
      </c>
      <c r="E149">
        <v>-98</v>
      </c>
      <c r="F149">
        <v>10.475825275091699</v>
      </c>
    </row>
    <row r="150" spans="1:6" x14ac:dyDescent="0.25">
      <c r="A150" t="s">
        <v>13</v>
      </c>
      <c r="B150">
        <v>3</v>
      </c>
      <c r="C150">
        <v>10</v>
      </c>
      <c r="D150">
        <v>26.65</v>
      </c>
      <c r="E150">
        <v>-98</v>
      </c>
      <c r="F150">
        <v>10.541847282427501</v>
      </c>
    </row>
    <row r="151" spans="1:6" x14ac:dyDescent="0.25">
      <c r="A151" t="s">
        <v>13</v>
      </c>
      <c r="B151">
        <v>3</v>
      </c>
      <c r="C151">
        <v>10</v>
      </c>
      <c r="D151">
        <v>27</v>
      </c>
      <c r="E151">
        <v>-98</v>
      </c>
      <c r="F151">
        <v>10.475825275091699</v>
      </c>
    </row>
    <row r="152" spans="1:6" x14ac:dyDescent="0.25">
      <c r="A152" t="s">
        <v>13</v>
      </c>
      <c r="B152">
        <v>3</v>
      </c>
      <c r="C152">
        <v>10</v>
      </c>
      <c r="D152">
        <v>27.35</v>
      </c>
      <c r="E152">
        <v>-98</v>
      </c>
      <c r="F152">
        <v>10.3437812604201</v>
      </c>
    </row>
    <row r="153" spans="1:6" x14ac:dyDescent="0.25">
      <c r="A153" t="s">
        <v>13</v>
      </c>
      <c r="B153">
        <v>3</v>
      </c>
      <c r="C153">
        <v>10</v>
      </c>
      <c r="D153">
        <v>27.7</v>
      </c>
      <c r="E153">
        <v>-98</v>
      </c>
      <c r="F153">
        <v>10.0136712237413</v>
      </c>
    </row>
    <row r="154" spans="1:6" x14ac:dyDescent="0.25">
      <c r="A154" t="s">
        <v>13</v>
      </c>
      <c r="B154">
        <v>3</v>
      </c>
      <c r="C154">
        <v>10</v>
      </c>
      <c r="D154">
        <v>28.05</v>
      </c>
      <c r="E154">
        <v>-98</v>
      </c>
      <c r="F154">
        <v>8.5538512837612597</v>
      </c>
    </row>
    <row r="155" spans="1:6" x14ac:dyDescent="0.25">
      <c r="A155" t="s">
        <v>13</v>
      </c>
      <c r="B155">
        <v>3</v>
      </c>
      <c r="C155">
        <v>10</v>
      </c>
      <c r="D155">
        <v>28.4</v>
      </c>
      <c r="E155">
        <v>-98</v>
      </c>
      <c r="F155">
        <v>3.3014338112704298</v>
      </c>
    </row>
    <row r="156" spans="1:6" x14ac:dyDescent="0.25">
      <c r="A156" t="s">
        <v>13</v>
      </c>
      <c r="B156">
        <v>3</v>
      </c>
      <c r="C156">
        <v>10</v>
      </c>
      <c r="D156">
        <v>28.75</v>
      </c>
      <c r="E156">
        <v>-98</v>
      </c>
      <c r="F156">
        <v>2.9346448816272099</v>
      </c>
    </row>
    <row r="157" spans="1:6" x14ac:dyDescent="0.25">
      <c r="A157" t="s">
        <v>13</v>
      </c>
      <c r="B157">
        <v>3</v>
      </c>
      <c r="C157">
        <v>10</v>
      </c>
      <c r="D157">
        <v>29.1</v>
      </c>
      <c r="E157">
        <v>-98</v>
      </c>
      <c r="F157">
        <v>2.9346448816272099</v>
      </c>
    </row>
    <row r="158" spans="1:6" x14ac:dyDescent="0.25">
      <c r="A158" t="s">
        <v>13</v>
      </c>
      <c r="B158">
        <v>4</v>
      </c>
      <c r="C158">
        <v>10</v>
      </c>
      <c r="D158">
        <v>33.9</v>
      </c>
      <c r="E158">
        <v>-98</v>
      </c>
      <c r="F158">
        <v>3.1490379268157098</v>
      </c>
    </row>
    <row r="159" spans="1:6" x14ac:dyDescent="0.25">
      <c r="A159" t="s">
        <v>13</v>
      </c>
      <c r="B159">
        <v>4</v>
      </c>
      <c r="C159">
        <v>10</v>
      </c>
      <c r="D159">
        <v>34.25</v>
      </c>
      <c r="E159">
        <v>-98</v>
      </c>
      <c r="F159">
        <v>3.4133021910799699</v>
      </c>
    </row>
    <row r="160" spans="1:6" x14ac:dyDescent="0.25">
      <c r="A160" t="s">
        <v>13</v>
      </c>
      <c r="B160">
        <v>4</v>
      </c>
      <c r="C160">
        <v>10</v>
      </c>
      <c r="D160">
        <v>34.6</v>
      </c>
      <c r="E160">
        <v>-98</v>
      </c>
      <c r="F160">
        <v>9.7850072294516792</v>
      </c>
    </row>
    <row r="161" spans="1:6" x14ac:dyDescent="0.25">
      <c r="A161" t="s">
        <v>13</v>
      </c>
      <c r="B161">
        <v>4</v>
      </c>
      <c r="C161">
        <v>10</v>
      </c>
      <c r="D161">
        <v>34.950000000000003</v>
      </c>
      <c r="E161">
        <v>-98</v>
      </c>
      <c r="F161">
        <v>10.416305194083</v>
      </c>
    </row>
    <row r="162" spans="1:6" x14ac:dyDescent="0.25">
      <c r="A162" t="s">
        <v>13</v>
      </c>
      <c r="B162">
        <v>4</v>
      </c>
      <c r="C162">
        <v>10</v>
      </c>
      <c r="D162">
        <v>35.299999999999997</v>
      </c>
      <c r="E162">
        <v>-98</v>
      </c>
      <c r="F162">
        <v>10.6145033922812</v>
      </c>
    </row>
    <row r="163" spans="1:6" x14ac:dyDescent="0.25">
      <c r="A163" t="s">
        <v>13</v>
      </c>
      <c r="B163">
        <v>4</v>
      </c>
      <c r="C163">
        <v>10</v>
      </c>
      <c r="D163">
        <v>35.65</v>
      </c>
      <c r="E163">
        <v>-98</v>
      </c>
      <c r="F163">
        <v>10.6145033922812</v>
      </c>
    </row>
    <row r="164" spans="1:6" x14ac:dyDescent="0.25">
      <c r="A164" t="s">
        <v>13</v>
      </c>
      <c r="B164">
        <v>4</v>
      </c>
      <c r="C164">
        <v>10</v>
      </c>
      <c r="D164">
        <v>36</v>
      </c>
      <c r="E164">
        <v>-98</v>
      </c>
      <c r="F164">
        <v>10.482371260149</v>
      </c>
    </row>
    <row r="165" spans="1:6" x14ac:dyDescent="0.25">
      <c r="A165" t="s">
        <v>13</v>
      </c>
      <c r="B165">
        <v>4</v>
      </c>
      <c r="C165">
        <v>10</v>
      </c>
      <c r="D165">
        <v>36.35</v>
      </c>
      <c r="E165">
        <v>-98</v>
      </c>
      <c r="F165">
        <v>10.3869424980536</v>
      </c>
    </row>
    <row r="166" spans="1:6" x14ac:dyDescent="0.25">
      <c r="A166" t="s">
        <v>13</v>
      </c>
      <c r="B166">
        <v>4</v>
      </c>
      <c r="C166">
        <v>10</v>
      </c>
      <c r="D166">
        <v>36.700000000000003</v>
      </c>
      <c r="E166">
        <v>-98</v>
      </c>
      <c r="F166">
        <v>9.5207429651874094</v>
      </c>
    </row>
    <row r="167" spans="1:6" x14ac:dyDescent="0.25">
      <c r="A167" t="s">
        <v>13</v>
      </c>
      <c r="B167">
        <v>4</v>
      </c>
      <c r="C167">
        <v>10</v>
      </c>
      <c r="D167">
        <v>37.049999999999997</v>
      </c>
      <c r="E167">
        <v>-98</v>
      </c>
      <c r="F167">
        <v>2.8554109665220802</v>
      </c>
    </row>
    <row r="168" spans="1:6" x14ac:dyDescent="0.25">
      <c r="A168" t="s">
        <v>13</v>
      </c>
      <c r="B168">
        <v>4</v>
      </c>
      <c r="C168">
        <v>10</v>
      </c>
      <c r="D168">
        <v>37.4</v>
      </c>
      <c r="E168">
        <v>-98</v>
      </c>
      <c r="F168">
        <v>2.7159381603826098</v>
      </c>
    </row>
    <row r="169" spans="1:6" x14ac:dyDescent="0.25">
      <c r="A169" t="s">
        <v>13</v>
      </c>
      <c r="B169">
        <v>4</v>
      </c>
      <c r="C169">
        <v>10</v>
      </c>
      <c r="D169">
        <v>37.75</v>
      </c>
      <c r="E169">
        <v>-98</v>
      </c>
      <c r="F169">
        <v>2.9875430986542102</v>
      </c>
    </row>
    <row r="170" spans="1:6" x14ac:dyDescent="0.25">
      <c r="A170" t="s">
        <v>13</v>
      </c>
      <c r="B170">
        <v>4</v>
      </c>
      <c r="C170">
        <v>10</v>
      </c>
      <c r="D170">
        <v>38.1</v>
      </c>
      <c r="E170">
        <v>-98</v>
      </c>
      <c r="F170">
        <v>3.0829718607496401</v>
      </c>
    </row>
    <row r="171" spans="1:6" x14ac:dyDescent="0.25">
      <c r="A171" t="s">
        <v>13</v>
      </c>
      <c r="B171">
        <v>5</v>
      </c>
      <c r="C171">
        <v>10</v>
      </c>
      <c r="D171">
        <v>42.9</v>
      </c>
      <c r="E171">
        <v>-98</v>
      </c>
      <c r="F171">
        <v>3.2236203090507698</v>
      </c>
    </row>
    <row r="172" spans="1:6" x14ac:dyDescent="0.25">
      <c r="A172" t="s">
        <v>13</v>
      </c>
      <c r="B172">
        <v>5</v>
      </c>
      <c r="C172">
        <v>10</v>
      </c>
      <c r="D172">
        <v>43.25</v>
      </c>
      <c r="E172">
        <v>-98</v>
      </c>
      <c r="F172">
        <v>3.28918322295806</v>
      </c>
    </row>
    <row r="173" spans="1:6" x14ac:dyDescent="0.25">
      <c r="A173" t="s">
        <v>13</v>
      </c>
      <c r="B173">
        <v>5</v>
      </c>
      <c r="C173">
        <v>10</v>
      </c>
      <c r="D173">
        <v>43.6</v>
      </c>
      <c r="E173">
        <v>-98</v>
      </c>
      <c r="F173">
        <v>9.7434878587196394</v>
      </c>
    </row>
    <row r="174" spans="1:6" x14ac:dyDescent="0.25">
      <c r="A174" t="s">
        <v>13</v>
      </c>
      <c r="B174">
        <v>5</v>
      </c>
      <c r="C174">
        <v>10</v>
      </c>
      <c r="D174">
        <v>43.95</v>
      </c>
      <c r="E174">
        <v>-98</v>
      </c>
      <c r="F174">
        <v>10.3991169977925</v>
      </c>
    </row>
    <row r="175" spans="1:6" x14ac:dyDescent="0.25">
      <c r="A175" t="s">
        <v>13</v>
      </c>
      <c r="B175">
        <v>5</v>
      </c>
      <c r="C175">
        <v>10</v>
      </c>
      <c r="D175">
        <v>44.3</v>
      </c>
      <c r="E175">
        <v>-98</v>
      </c>
      <c r="F175">
        <v>10.5666666666667</v>
      </c>
    </row>
    <row r="176" spans="1:6" x14ac:dyDescent="0.25">
      <c r="A176" t="s">
        <v>13</v>
      </c>
      <c r="B176">
        <v>5</v>
      </c>
      <c r="C176">
        <v>10</v>
      </c>
      <c r="D176">
        <v>44.65</v>
      </c>
      <c r="E176">
        <v>-98</v>
      </c>
      <c r="F176">
        <v>10.5302428256071</v>
      </c>
    </row>
    <row r="177" spans="1:6" x14ac:dyDescent="0.25">
      <c r="A177" t="s">
        <v>13</v>
      </c>
      <c r="B177">
        <v>5</v>
      </c>
      <c r="C177">
        <v>10</v>
      </c>
      <c r="D177">
        <v>45</v>
      </c>
      <c r="E177">
        <v>-98</v>
      </c>
      <c r="F177">
        <v>10.4355408388521</v>
      </c>
    </row>
    <row r="178" spans="1:6" x14ac:dyDescent="0.25">
      <c r="A178" t="s">
        <v>13</v>
      </c>
      <c r="B178">
        <v>5</v>
      </c>
      <c r="C178">
        <v>10</v>
      </c>
      <c r="D178">
        <v>45.35</v>
      </c>
      <c r="E178">
        <v>-98</v>
      </c>
      <c r="F178">
        <v>10.0348785871965</v>
      </c>
    </row>
    <row r="179" spans="1:6" x14ac:dyDescent="0.25">
      <c r="A179" t="s">
        <v>13</v>
      </c>
      <c r="B179">
        <v>5</v>
      </c>
      <c r="C179">
        <v>10</v>
      </c>
      <c r="D179">
        <v>45.7</v>
      </c>
      <c r="E179">
        <v>-98</v>
      </c>
      <c r="F179">
        <v>8.6580573951434907</v>
      </c>
    </row>
    <row r="180" spans="1:6" x14ac:dyDescent="0.25">
      <c r="A180" t="s">
        <v>13</v>
      </c>
      <c r="B180">
        <v>5</v>
      </c>
      <c r="C180">
        <v>10</v>
      </c>
      <c r="D180">
        <v>46.05</v>
      </c>
      <c r="E180">
        <v>-98</v>
      </c>
      <c r="F180">
        <v>3.2527593818984499</v>
      </c>
    </row>
    <row r="181" spans="1:6" x14ac:dyDescent="0.25">
      <c r="A181" t="s">
        <v>13</v>
      </c>
      <c r="B181">
        <v>5</v>
      </c>
      <c r="C181">
        <v>10</v>
      </c>
      <c r="D181">
        <v>46.4</v>
      </c>
      <c r="E181">
        <v>-98</v>
      </c>
      <c r="F181">
        <v>3.0269315673289201</v>
      </c>
    </row>
    <row r="182" spans="1:6" x14ac:dyDescent="0.25">
      <c r="A182" t="s">
        <v>13</v>
      </c>
      <c r="B182">
        <v>5</v>
      </c>
      <c r="C182">
        <v>10</v>
      </c>
      <c r="D182">
        <v>46.75</v>
      </c>
      <c r="E182">
        <v>-98</v>
      </c>
      <c r="F182">
        <v>3.0924944812362001</v>
      </c>
    </row>
    <row r="183" spans="1:6" x14ac:dyDescent="0.25">
      <c r="A183" t="s">
        <v>13</v>
      </c>
      <c r="B183">
        <v>5</v>
      </c>
      <c r="C183">
        <v>10</v>
      </c>
      <c r="D183">
        <v>47.1</v>
      </c>
      <c r="E183">
        <v>-98</v>
      </c>
      <c r="F183">
        <v>3.18719646799117</v>
      </c>
    </row>
    <row r="184" spans="1:6" x14ac:dyDescent="0.25">
      <c r="A184" t="s">
        <v>13</v>
      </c>
      <c r="B184">
        <v>6</v>
      </c>
      <c r="C184">
        <v>10</v>
      </c>
      <c r="D184">
        <v>51.9</v>
      </c>
      <c r="E184">
        <v>-98</v>
      </c>
      <c r="F184">
        <v>8.7768154563624297</v>
      </c>
    </row>
    <row r="185" spans="1:6" x14ac:dyDescent="0.25">
      <c r="A185" t="s">
        <v>13</v>
      </c>
      <c r="B185">
        <v>6</v>
      </c>
      <c r="C185">
        <v>10</v>
      </c>
      <c r="D185">
        <v>52.25</v>
      </c>
      <c r="E185">
        <v>-98</v>
      </c>
      <c r="F185">
        <v>10.037308461026001</v>
      </c>
    </row>
    <row r="186" spans="1:6" x14ac:dyDescent="0.25">
      <c r="A186" t="s">
        <v>13</v>
      </c>
      <c r="B186">
        <v>6</v>
      </c>
      <c r="C186">
        <v>10</v>
      </c>
      <c r="D186">
        <v>52.6</v>
      </c>
      <c r="E186">
        <v>-98</v>
      </c>
      <c r="F186">
        <v>10.572285143237799</v>
      </c>
    </row>
    <row r="187" spans="1:6" x14ac:dyDescent="0.25">
      <c r="A187" t="s">
        <v>13</v>
      </c>
      <c r="B187">
        <v>6</v>
      </c>
      <c r="C187">
        <v>10</v>
      </c>
      <c r="D187">
        <v>52.95</v>
      </c>
      <c r="E187">
        <v>-98</v>
      </c>
      <c r="F187">
        <v>10.799467021985301</v>
      </c>
    </row>
    <row r="188" spans="1:6" x14ac:dyDescent="0.25">
      <c r="A188" t="s">
        <v>13</v>
      </c>
      <c r="B188">
        <v>6</v>
      </c>
      <c r="C188">
        <v>10</v>
      </c>
      <c r="D188">
        <v>53.3</v>
      </c>
      <c r="E188">
        <v>-98</v>
      </c>
      <c r="F188">
        <v>10.836109260493</v>
      </c>
    </row>
    <row r="189" spans="1:6" x14ac:dyDescent="0.25">
      <c r="A189" t="s">
        <v>13</v>
      </c>
      <c r="B189">
        <v>6</v>
      </c>
      <c r="C189">
        <v>10</v>
      </c>
      <c r="D189">
        <v>53.65</v>
      </c>
      <c r="E189">
        <v>-98</v>
      </c>
      <c r="F189">
        <v>10.799467021985301</v>
      </c>
    </row>
    <row r="190" spans="1:6" x14ac:dyDescent="0.25">
      <c r="A190" t="s">
        <v>13</v>
      </c>
      <c r="B190">
        <v>6</v>
      </c>
      <c r="C190">
        <v>10</v>
      </c>
      <c r="D190">
        <v>54</v>
      </c>
      <c r="E190">
        <v>-98</v>
      </c>
      <c r="F190">
        <v>10.6382411725516</v>
      </c>
    </row>
    <row r="191" spans="1:6" x14ac:dyDescent="0.25">
      <c r="A191" t="s">
        <v>13</v>
      </c>
      <c r="B191">
        <v>6</v>
      </c>
      <c r="C191">
        <v>10</v>
      </c>
      <c r="D191">
        <v>54.35</v>
      </c>
      <c r="E191">
        <v>-98</v>
      </c>
      <c r="F191">
        <v>10.374417055296499</v>
      </c>
    </row>
    <row r="192" spans="1:6" x14ac:dyDescent="0.25">
      <c r="A192" t="s">
        <v>13</v>
      </c>
      <c r="B192">
        <v>6</v>
      </c>
      <c r="C192">
        <v>10</v>
      </c>
      <c r="D192">
        <v>54.7</v>
      </c>
      <c r="E192">
        <v>-98</v>
      </c>
      <c r="F192">
        <v>8.6449033977348506</v>
      </c>
    </row>
    <row r="193" spans="1:6" x14ac:dyDescent="0.25">
      <c r="A193" t="s">
        <v>13</v>
      </c>
      <c r="B193">
        <v>6</v>
      </c>
      <c r="C193">
        <v>10</v>
      </c>
      <c r="D193">
        <v>55.05</v>
      </c>
      <c r="E193">
        <v>-98</v>
      </c>
      <c r="F193">
        <v>7.80946035976016</v>
      </c>
    </row>
    <row r="194" spans="1:6" x14ac:dyDescent="0.25">
      <c r="A194" t="s">
        <v>13</v>
      </c>
      <c r="B194">
        <v>6</v>
      </c>
      <c r="C194">
        <v>10</v>
      </c>
      <c r="D194">
        <v>55.4</v>
      </c>
      <c r="E194">
        <v>-98</v>
      </c>
      <c r="F194">
        <v>3.2291805463024699</v>
      </c>
    </row>
    <row r="195" spans="1:6" x14ac:dyDescent="0.25">
      <c r="A195" t="s">
        <v>13</v>
      </c>
      <c r="B195">
        <v>6</v>
      </c>
      <c r="C195">
        <v>10</v>
      </c>
      <c r="D195">
        <v>55.75</v>
      </c>
      <c r="E195">
        <v>-98</v>
      </c>
      <c r="F195">
        <v>3.2291805463024699</v>
      </c>
    </row>
    <row r="196" spans="1:6" x14ac:dyDescent="0.25">
      <c r="A196" t="s">
        <v>13</v>
      </c>
      <c r="B196">
        <v>6</v>
      </c>
      <c r="C196">
        <v>10</v>
      </c>
      <c r="D196">
        <v>56.1</v>
      </c>
      <c r="E196">
        <v>-98</v>
      </c>
      <c r="F196">
        <v>3.2584943371085999</v>
      </c>
    </row>
    <row r="197" spans="1:6" x14ac:dyDescent="0.25">
      <c r="A197" t="s">
        <v>13</v>
      </c>
      <c r="B197">
        <v>7</v>
      </c>
      <c r="C197">
        <v>10</v>
      </c>
      <c r="D197">
        <v>60.9</v>
      </c>
      <c r="E197">
        <v>-98</v>
      </c>
      <c r="F197">
        <v>9.9679572763684892</v>
      </c>
    </row>
    <row r="198" spans="1:6" x14ac:dyDescent="0.25">
      <c r="A198" t="s">
        <v>13</v>
      </c>
      <c r="B198">
        <v>7</v>
      </c>
      <c r="C198">
        <v>10</v>
      </c>
      <c r="D198">
        <v>61.25</v>
      </c>
      <c r="E198">
        <v>-98</v>
      </c>
      <c r="F198">
        <v>10.371829105473999</v>
      </c>
    </row>
    <row r="199" spans="1:6" x14ac:dyDescent="0.25">
      <c r="A199" t="s">
        <v>13</v>
      </c>
      <c r="B199">
        <v>7</v>
      </c>
      <c r="C199">
        <v>10</v>
      </c>
      <c r="D199">
        <v>61.6</v>
      </c>
      <c r="E199">
        <v>-98</v>
      </c>
      <c r="F199">
        <v>10.7096128170894</v>
      </c>
    </row>
    <row r="200" spans="1:6" x14ac:dyDescent="0.25">
      <c r="A200" t="s">
        <v>13</v>
      </c>
      <c r="B200">
        <v>7</v>
      </c>
      <c r="C200">
        <v>10</v>
      </c>
      <c r="D200">
        <v>61.95</v>
      </c>
      <c r="E200">
        <v>-98</v>
      </c>
      <c r="F200">
        <v>10.849132176235001</v>
      </c>
    </row>
    <row r="201" spans="1:6" x14ac:dyDescent="0.25">
      <c r="A201" t="s">
        <v>13</v>
      </c>
      <c r="B201">
        <v>7</v>
      </c>
      <c r="C201">
        <v>10</v>
      </c>
      <c r="D201">
        <v>62.3</v>
      </c>
      <c r="E201">
        <v>-98</v>
      </c>
      <c r="F201">
        <v>10.878504672897201</v>
      </c>
    </row>
    <row r="202" spans="1:6" x14ac:dyDescent="0.25">
      <c r="A202" t="s">
        <v>13</v>
      </c>
      <c r="B202">
        <v>7</v>
      </c>
      <c r="C202">
        <v>10</v>
      </c>
      <c r="D202">
        <v>62.65</v>
      </c>
      <c r="E202">
        <v>-98</v>
      </c>
      <c r="F202">
        <v>10.746328437917199</v>
      </c>
    </row>
    <row r="203" spans="1:6" x14ac:dyDescent="0.25">
      <c r="A203" t="s">
        <v>13</v>
      </c>
      <c r="B203">
        <v>7</v>
      </c>
      <c r="C203">
        <v>10</v>
      </c>
      <c r="D203">
        <v>63</v>
      </c>
      <c r="E203">
        <v>-98</v>
      </c>
      <c r="F203">
        <v>10.643524699599499</v>
      </c>
    </row>
    <row r="204" spans="1:6" x14ac:dyDescent="0.25">
      <c r="A204" t="s">
        <v>13</v>
      </c>
      <c r="B204">
        <v>7</v>
      </c>
      <c r="C204">
        <v>10</v>
      </c>
      <c r="D204">
        <v>63.35</v>
      </c>
      <c r="E204">
        <v>-98</v>
      </c>
      <c r="F204">
        <v>10.1368491321762</v>
      </c>
    </row>
    <row r="205" spans="1:6" x14ac:dyDescent="0.25">
      <c r="A205" t="s">
        <v>13</v>
      </c>
      <c r="B205">
        <v>7</v>
      </c>
      <c r="C205">
        <v>10</v>
      </c>
      <c r="D205">
        <v>63.7</v>
      </c>
      <c r="E205">
        <v>-98</v>
      </c>
      <c r="F205">
        <v>8.8591455273698205</v>
      </c>
    </row>
    <row r="206" spans="1:6" x14ac:dyDescent="0.25">
      <c r="A206" t="s">
        <v>13</v>
      </c>
      <c r="B206">
        <v>7</v>
      </c>
      <c r="C206">
        <v>10</v>
      </c>
      <c r="D206">
        <v>64.05</v>
      </c>
      <c r="E206">
        <v>-98</v>
      </c>
      <c r="F206">
        <v>6.8324432576768999</v>
      </c>
    </row>
    <row r="207" spans="1:6" x14ac:dyDescent="0.25">
      <c r="A207" t="s">
        <v>13</v>
      </c>
      <c r="B207">
        <v>7</v>
      </c>
      <c r="C207">
        <v>10</v>
      </c>
      <c r="D207">
        <v>64.400000000000006</v>
      </c>
      <c r="E207">
        <v>-98</v>
      </c>
      <c r="F207">
        <v>5.0113484646194904</v>
      </c>
    </row>
    <row r="208" spans="1:6" x14ac:dyDescent="0.25">
      <c r="A208" t="s">
        <v>13</v>
      </c>
      <c r="B208">
        <v>7</v>
      </c>
      <c r="C208">
        <v>10</v>
      </c>
      <c r="D208">
        <v>64.75</v>
      </c>
      <c r="E208">
        <v>-98</v>
      </c>
      <c r="F208">
        <v>3.3885180240320398</v>
      </c>
    </row>
    <row r="209" spans="1:6" x14ac:dyDescent="0.25">
      <c r="A209" t="s">
        <v>13</v>
      </c>
      <c r="B209">
        <v>7</v>
      </c>
      <c r="C209">
        <v>10</v>
      </c>
      <c r="D209">
        <v>65.099999999999994</v>
      </c>
      <c r="E209">
        <v>-98</v>
      </c>
      <c r="F209">
        <v>3.42523364485981</v>
      </c>
    </row>
    <row r="210" spans="1:6" x14ac:dyDescent="0.25">
      <c r="A210" t="s">
        <v>13</v>
      </c>
      <c r="B210">
        <v>0</v>
      </c>
      <c r="C210">
        <v>9</v>
      </c>
      <c r="D210">
        <v>-2.1</v>
      </c>
      <c r="E210">
        <v>-89</v>
      </c>
      <c r="F210">
        <v>7.8814839497945099</v>
      </c>
    </row>
    <row r="211" spans="1:6" x14ac:dyDescent="0.25">
      <c r="A211" t="s">
        <v>13</v>
      </c>
      <c r="B211">
        <v>0</v>
      </c>
      <c r="C211">
        <v>9</v>
      </c>
      <c r="D211">
        <v>-1.75</v>
      </c>
      <c r="E211">
        <v>-89</v>
      </c>
      <c r="F211">
        <v>8.9957791847162092</v>
      </c>
    </row>
    <row r="212" spans="1:6" x14ac:dyDescent="0.25">
      <c r="A212" t="s">
        <v>13</v>
      </c>
      <c r="B212">
        <v>0</v>
      </c>
      <c r="C212">
        <v>9</v>
      </c>
      <c r="D212">
        <v>-1.4</v>
      </c>
      <c r="E212">
        <v>-89</v>
      </c>
      <c r="F212">
        <v>9.6995445962456994</v>
      </c>
    </row>
    <row r="213" spans="1:6" x14ac:dyDescent="0.25">
      <c r="A213" t="s">
        <v>13</v>
      </c>
      <c r="B213">
        <v>0</v>
      </c>
      <c r="C213">
        <v>9</v>
      </c>
      <c r="D213">
        <v>-1.05</v>
      </c>
      <c r="E213">
        <v>-89</v>
      </c>
      <c r="F213">
        <v>10.1760524269688</v>
      </c>
    </row>
    <row r="214" spans="1:6" x14ac:dyDescent="0.25">
      <c r="A214" t="s">
        <v>13</v>
      </c>
      <c r="B214">
        <v>0</v>
      </c>
      <c r="C214">
        <v>9</v>
      </c>
      <c r="D214">
        <v>-0.7</v>
      </c>
      <c r="E214">
        <v>-89</v>
      </c>
      <c r="F214">
        <v>10.410640897478601</v>
      </c>
    </row>
    <row r="215" spans="1:6" x14ac:dyDescent="0.25">
      <c r="A215" t="s">
        <v>13</v>
      </c>
      <c r="B215">
        <v>0</v>
      </c>
      <c r="C215">
        <v>9</v>
      </c>
      <c r="D215">
        <v>-0.35</v>
      </c>
      <c r="E215">
        <v>-89</v>
      </c>
      <c r="F215">
        <v>10.5425969121404</v>
      </c>
    </row>
    <row r="216" spans="1:6" x14ac:dyDescent="0.25">
      <c r="A216" t="s">
        <v>13</v>
      </c>
      <c r="B216">
        <v>0</v>
      </c>
      <c r="C216">
        <v>9</v>
      </c>
      <c r="D216" s="1">
        <v>-4.4408920985006301E-16</v>
      </c>
      <c r="E216">
        <v>-89</v>
      </c>
      <c r="F216">
        <v>10.579251360657601</v>
      </c>
    </row>
    <row r="217" spans="1:6" x14ac:dyDescent="0.25">
      <c r="A217" t="s">
        <v>13</v>
      </c>
      <c r="B217">
        <v>0</v>
      </c>
      <c r="C217">
        <v>9</v>
      </c>
      <c r="D217">
        <v>0.35</v>
      </c>
      <c r="E217">
        <v>-89</v>
      </c>
      <c r="F217">
        <v>10.579251360657601</v>
      </c>
    </row>
    <row r="218" spans="1:6" x14ac:dyDescent="0.25">
      <c r="A218" t="s">
        <v>13</v>
      </c>
      <c r="B218">
        <v>0</v>
      </c>
      <c r="C218">
        <v>9</v>
      </c>
      <c r="D218">
        <v>0.7</v>
      </c>
      <c r="E218">
        <v>-89</v>
      </c>
      <c r="F218">
        <v>10.513273353326699</v>
      </c>
    </row>
    <row r="219" spans="1:6" x14ac:dyDescent="0.25">
      <c r="A219" t="s">
        <v>13</v>
      </c>
      <c r="B219">
        <v>0</v>
      </c>
      <c r="C219">
        <v>9</v>
      </c>
      <c r="D219">
        <v>1.05</v>
      </c>
      <c r="E219">
        <v>-89</v>
      </c>
      <c r="F219">
        <v>10.2420304342997</v>
      </c>
    </row>
    <row r="220" spans="1:6" x14ac:dyDescent="0.25">
      <c r="A220" t="s">
        <v>13</v>
      </c>
      <c r="B220">
        <v>0</v>
      </c>
      <c r="C220">
        <v>9</v>
      </c>
      <c r="D220">
        <v>1.4</v>
      </c>
      <c r="E220">
        <v>-89</v>
      </c>
      <c r="F220">
        <v>9.5309341330667507</v>
      </c>
    </row>
    <row r="221" spans="1:6" x14ac:dyDescent="0.25">
      <c r="A221" t="s">
        <v>13</v>
      </c>
      <c r="B221">
        <v>0</v>
      </c>
      <c r="C221">
        <v>9</v>
      </c>
      <c r="D221">
        <v>1.75</v>
      </c>
      <c r="E221">
        <v>-89</v>
      </c>
      <c r="F221">
        <v>7.4123070087748504</v>
      </c>
    </row>
    <row r="222" spans="1:6" x14ac:dyDescent="0.25">
      <c r="A222" t="s">
        <v>13</v>
      </c>
      <c r="B222">
        <v>0</v>
      </c>
      <c r="C222">
        <v>9</v>
      </c>
      <c r="D222">
        <v>2.1</v>
      </c>
      <c r="E222">
        <v>-89</v>
      </c>
      <c r="F222">
        <v>3.1970454293013399</v>
      </c>
    </row>
    <row r="223" spans="1:6" x14ac:dyDescent="0.25">
      <c r="A223" t="s">
        <v>13</v>
      </c>
      <c r="B223">
        <v>1</v>
      </c>
      <c r="C223">
        <v>9</v>
      </c>
      <c r="D223">
        <v>6.9</v>
      </c>
      <c r="E223">
        <v>-89</v>
      </c>
      <c r="F223">
        <v>2.96506453048509</v>
      </c>
    </row>
    <row r="224" spans="1:6" x14ac:dyDescent="0.25">
      <c r="A224" t="s">
        <v>13</v>
      </c>
      <c r="B224">
        <v>1</v>
      </c>
      <c r="C224">
        <v>9</v>
      </c>
      <c r="D224">
        <v>7.25</v>
      </c>
      <c r="E224">
        <v>-89</v>
      </c>
      <c r="F224">
        <v>3.4717400979083202</v>
      </c>
    </row>
    <row r="225" spans="1:6" x14ac:dyDescent="0.25">
      <c r="A225" t="s">
        <v>13</v>
      </c>
      <c r="B225">
        <v>1</v>
      </c>
      <c r="C225">
        <v>9</v>
      </c>
      <c r="D225">
        <v>7.6</v>
      </c>
      <c r="E225">
        <v>-89</v>
      </c>
      <c r="F225">
        <v>9.0011125945705395</v>
      </c>
    </row>
    <row r="226" spans="1:6" x14ac:dyDescent="0.25">
      <c r="A226" t="s">
        <v>13</v>
      </c>
      <c r="B226">
        <v>1</v>
      </c>
      <c r="C226">
        <v>9</v>
      </c>
      <c r="D226">
        <v>7.95</v>
      </c>
      <c r="E226">
        <v>-89</v>
      </c>
      <c r="F226">
        <v>9.7721406319537198</v>
      </c>
    </row>
    <row r="227" spans="1:6" x14ac:dyDescent="0.25">
      <c r="A227" t="s">
        <v>13</v>
      </c>
      <c r="B227">
        <v>1</v>
      </c>
      <c r="C227">
        <v>9</v>
      </c>
      <c r="D227">
        <v>8.3000000000000007</v>
      </c>
      <c r="E227">
        <v>-89</v>
      </c>
      <c r="F227">
        <v>10.139296840231401</v>
      </c>
    </row>
    <row r="228" spans="1:6" x14ac:dyDescent="0.25">
      <c r="A228" t="s">
        <v>13</v>
      </c>
      <c r="B228">
        <v>1</v>
      </c>
      <c r="C228">
        <v>9</v>
      </c>
      <c r="D228">
        <v>8.65</v>
      </c>
      <c r="E228">
        <v>-89</v>
      </c>
      <c r="F228">
        <v>10.234757454383599</v>
      </c>
    </row>
    <row r="229" spans="1:6" x14ac:dyDescent="0.25">
      <c r="A229" t="s">
        <v>13</v>
      </c>
      <c r="B229">
        <v>1</v>
      </c>
      <c r="C229">
        <v>9</v>
      </c>
      <c r="D229">
        <v>9</v>
      </c>
      <c r="E229">
        <v>-89</v>
      </c>
      <c r="F229">
        <v>10.2053849577214</v>
      </c>
    </row>
    <row r="230" spans="1:6" x14ac:dyDescent="0.25">
      <c r="A230" t="s">
        <v>13</v>
      </c>
      <c r="B230">
        <v>1</v>
      </c>
      <c r="C230">
        <v>9</v>
      </c>
      <c r="D230">
        <v>9.35</v>
      </c>
      <c r="E230">
        <v>-89</v>
      </c>
      <c r="F230">
        <v>10.0658655985759</v>
      </c>
    </row>
    <row r="231" spans="1:6" x14ac:dyDescent="0.25">
      <c r="A231" t="s">
        <v>13</v>
      </c>
      <c r="B231">
        <v>1</v>
      </c>
      <c r="C231">
        <v>9</v>
      </c>
      <c r="D231">
        <v>9.6999999999999993</v>
      </c>
      <c r="E231">
        <v>-89</v>
      </c>
      <c r="F231">
        <v>9.7721406319537198</v>
      </c>
    </row>
    <row r="232" spans="1:6" x14ac:dyDescent="0.25">
      <c r="A232" t="s">
        <v>13</v>
      </c>
      <c r="B232">
        <v>1</v>
      </c>
      <c r="C232">
        <v>9</v>
      </c>
      <c r="D232">
        <v>10.050000000000001</v>
      </c>
      <c r="E232">
        <v>-89</v>
      </c>
      <c r="F232">
        <v>8.8028482421005805</v>
      </c>
    </row>
    <row r="233" spans="1:6" x14ac:dyDescent="0.25">
      <c r="A233" t="s">
        <v>13</v>
      </c>
      <c r="B233">
        <v>1</v>
      </c>
      <c r="C233">
        <v>9</v>
      </c>
      <c r="D233">
        <v>10.4</v>
      </c>
      <c r="E233">
        <v>-89</v>
      </c>
      <c r="F233">
        <v>6.0344904316866899</v>
      </c>
    </row>
    <row r="234" spans="1:6" x14ac:dyDescent="0.25">
      <c r="A234" t="s">
        <v>13</v>
      </c>
      <c r="B234">
        <v>1</v>
      </c>
      <c r="C234">
        <v>9</v>
      </c>
      <c r="D234">
        <v>10.75</v>
      </c>
      <c r="E234">
        <v>-89</v>
      </c>
      <c r="F234">
        <v>3.06786826880285</v>
      </c>
    </row>
    <row r="235" spans="1:6" x14ac:dyDescent="0.25">
      <c r="A235" t="s">
        <v>13</v>
      </c>
      <c r="B235">
        <v>1</v>
      </c>
      <c r="C235">
        <v>9</v>
      </c>
      <c r="D235">
        <v>11.1</v>
      </c>
      <c r="E235">
        <v>-89</v>
      </c>
      <c r="F235">
        <v>2.8989764129951001</v>
      </c>
    </row>
    <row r="236" spans="1:6" x14ac:dyDescent="0.25">
      <c r="A236" t="s">
        <v>13</v>
      </c>
      <c r="B236">
        <v>2</v>
      </c>
      <c r="C236">
        <v>9</v>
      </c>
      <c r="D236">
        <v>15.9</v>
      </c>
      <c r="E236">
        <v>-89</v>
      </c>
      <c r="F236">
        <v>2.98644444444444</v>
      </c>
    </row>
    <row r="237" spans="1:6" x14ac:dyDescent="0.25">
      <c r="A237" t="s">
        <v>13</v>
      </c>
      <c r="B237">
        <v>2</v>
      </c>
      <c r="C237">
        <v>9</v>
      </c>
      <c r="D237">
        <v>16.25</v>
      </c>
      <c r="E237">
        <v>-89</v>
      </c>
      <c r="F237">
        <v>2.9497777777777698</v>
      </c>
    </row>
    <row r="238" spans="1:6" x14ac:dyDescent="0.25">
      <c r="A238" t="s">
        <v>13</v>
      </c>
      <c r="B238">
        <v>2</v>
      </c>
      <c r="C238">
        <v>9</v>
      </c>
      <c r="D238">
        <v>16.600000000000001</v>
      </c>
      <c r="E238">
        <v>-89</v>
      </c>
      <c r="F238">
        <v>2.98644444444444</v>
      </c>
    </row>
    <row r="239" spans="1:6" x14ac:dyDescent="0.25">
      <c r="A239" t="s">
        <v>13</v>
      </c>
      <c r="B239">
        <v>2</v>
      </c>
      <c r="C239">
        <v>9</v>
      </c>
      <c r="D239">
        <v>16.95</v>
      </c>
      <c r="E239">
        <v>-89</v>
      </c>
      <c r="F239">
        <v>9.4911111111111097</v>
      </c>
    </row>
    <row r="240" spans="1:6" x14ac:dyDescent="0.25">
      <c r="A240" t="s">
        <v>13</v>
      </c>
      <c r="B240">
        <v>2</v>
      </c>
      <c r="C240">
        <v>9</v>
      </c>
      <c r="D240">
        <v>17.3</v>
      </c>
      <c r="E240">
        <v>-89</v>
      </c>
      <c r="F240">
        <v>10.253777777777801</v>
      </c>
    </row>
    <row r="241" spans="1:6" x14ac:dyDescent="0.25">
      <c r="A241" t="s">
        <v>13</v>
      </c>
      <c r="B241">
        <v>2</v>
      </c>
      <c r="C241">
        <v>9</v>
      </c>
      <c r="D241">
        <v>17.649999999999999</v>
      </c>
      <c r="E241">
        <v>-89</v>
      </c>
      <c r="F241">
        <v>10.3491111111111</v>
      </c>
    </row>
    <row r="242" spans="1:6" x14ac:dyDescent="0.25">
      <c r="A242" t="s">
        <v>13</v>
      </c>
      <c r="B242">
        <v>2</v>
      </c>
      <c r="C242">
        <v>9</v>
      </c>
      <c r="D242">
        <v>18</v>
      </c>
      <c r="E242">
        <v>-89</v>
      </c>
      <c r="F242">
        <v>10.3197777777778</v>
      </c>
    </row>
    <row r="243" spans="1:6" x14ac:dyDescent="0.25">
      <c r="A243" t="s">
        <v>13</v>
      </c>
      <c r="B243">
        <v>2</v>
      </c>
      <c r="C243">
        <v>9</v>
      </c>
      <c r="D243">
        <v>18.350000000000001</v>
      </c>
      <c r="E243">
        <v>-89</v>
      </c>
      <c r="F243">
        <v>10.253777777777801</v>
      </c>
    </row>
    <row r="244" spans="1:6" x14ac:dyDescent="0.25">
      <c r="A244" t="s">
        <v>13</v>
      </c>
      <c r="B244">
        <v>2</v>
      </c>
      <c r="C244">
        <v>9</v>
      </c>
      <c r="D244">
        <v>18.7</v>
      </c>
      <c r="E244">
        <v>-89</v>
      </c>
      <c r="F244">
        <v>10.0557777777778</v>
      </c>
    </row>
    <row r="245" spans="1:6" x14ac:dyDescent="0.25">
      <c r="A245" t="s">
        <v>13</v>
      </c>
      <c r="B245">
        <v>2</v>
      </c>
      <c r="C245">
        <v>9</v>
      </c>
      <c r="D245">
        <v>19.05</v>
      </c>
      <c r="E245">
        <v>-89</v>
      </c>
      <c r="F245">
        <v>8.5964444444444403</v>
      </c>
    </row>
    <row r="246" spans="1:6" x14ac:dyDescent="0.25">
      <c r="A246" t="s">
        <v>13</v>
      </c>
      <c r="B246">
        <v>2</v>
      </c>
      <c r="C246">
        <v>9</v>
      </c>
      <c r="D246">
        <v>19.399999999999999</v>
      </c>
      <c r="E246">
        <v>-89</v>
      </c>
      <c r="F246">
        <v>2.8544444444444399</v>
      </c>
    </row>
    <row r="247" spans="1:6" x14ac:dyDescent="0.25">
      <c r="A247" t="s">
        <v>13</v>
      </c>
      <c r="B247">
        <v>2</v>
      </c>
      <c r="C247">
        <v>9</v>
      </c>
      <c r="D247">
        <v>19.75</v>
      </c>
      <c r="E247">
        <v>-89</v>
      </c>
      <c r="F247">
        <v>2.7517777777777699</v>
      </c>
    </row>
    <row r="248" spans="1:6" x14ac:dyDescent="0.25">
      <c r="A248" t="s">
        <v>13</v>
      </c>
      <c r="B248">
        <v>2</v>
      </c>
      <c r="C248">
        <v>9</v>
      </c>
      <c r="D248">
        <v>20.100000000000001</v>
      </c>
      <c r="E248">
        <v>-89</v>
      </c>
      <c r="F248">
        <v>2.9204444444444402</v>
      </c>
    </row>
    <row r="249" spans="1:6" x14ac:dyDescent="0.25">
      <c r="A249" t="s">
        <v>13</v>
      </c>
      <c r="B249">
        <v>3</v>
      </c>
      <c r="C249">
        <v>9</v>
      </c>
      <c r="D249">
        <v>24.9</v>
      </c>
      <c r="E249">
        <v>-89</v>
      </c>
      <c r="F249">
        <v>3.0006668889629902</v>
      </c>
    </row>
    <row r="250" spans="1:6" x14ac:dyDescent="0.25">
      <c r="A250" t="s">
        <v>13</v>
      </c>
      <c r="B250">
        <v>3</v>
      </c>
      <c r="C250">
        <v>9</v>
      </c>
      <c r="D250">
        <v>25.25</v>
      </c>
      <c r="E250">
        <v>-89</v>
      </c>
      <c r="F250">
        <v>3.1693897965988702</v>
      </c>
    </row>
    <row r="251" spans="1:6" x14ac:dyDescent="0.25">
      <c r="A251" t="s">
        <v>13</v>
      </c>
      <c r="B251">
        <v>3</v>
      </c>
      <c r="C251">
        <v>9</v>
      </c>
      <c r="D251">
        <v>25.6</v>
      </c>
      <c r="E251">
        <v>-89</v>
      </c>
      <c r="F251">
        <v>5.3261087029009699</v>
      </c>
    </row>
    <row r="252" spans="1:6" x14ac:dyDescent="0.25">
      <c r="A252" t="s">
        <v>13</v>
      </c>
      <c r="B252">
        <v>3</v>
      </c>
      <c r="C252">
        <v>9</v>
      </c>
      <c r="D252">
        <v>25.95</v>
      </c>
      <c r="E252">
        <v>-89</v>
      </c>
      <c r="F252">
        <v>10.1090363454485</v>
      </c>
    </row>
    <row r="253" spans="1:6" x14ac:dyDescent="0.25">
      <c r="A253" t="s">
        <v>13</v>
      </c>
      <c r="B253">
        <v>3</v>
      </c>
      <c r="C253">
        <v>9</v>
      </c>
      <c r="D253">
        <v>26.3</v>
      </c>
      <c r="E253">
        <v>-89</v>
      </c>
      <c r="F253">
        <v>10.446482160720199</v>
      </c>
    </row>
    <row r="254" spans="1:6" x14ac:dyDescent="0.25">
      <c r="A254" t="s">
        <v>13</v>
      </c>
      <c r="B254">
        <v>3</v>
      </c>
      <c r="C254">
        <v>9</v>
      </c>
      <c r="D254">
        <v>26.65</v>
      </c>
      <c r="E254">
        <v>-89</v>
      </c>
      <c r="F254">
        <v>10.541847282427501</v>
      </c>
    </row>
    <row r="255" spans="1:6" x14ac:dyDescent="0.25">
      <c r="A255" t="s">
        <v>13</v>
      </c>
      <c r="B255">
        <v>3</v>
      </c>
      <c r="C255">
        <v>9</v>
      </c>
      <c r="D255">
        <v>27</v>
      </c>
      <c r="E255">
        <v>-89</v>
      </c>
      <c r="F255">
        <v>10.475825275091699</v>
      </c>
    </row>
    <row r="256" spans="1:6" x14ac:dyDescent="0.25">
      <c r="A256" t="s">
        <v>13</v>
      </c>
      <c r="B256">
        <v>3</v>
      </c>
      <c r="C256">
        <v>9</v>
      </c>
      <c r="D256">
        <v>27.35</v>
      </c>
      <c r="E256">
        <v>-89</v>
      </c>
      <c r="F256">
        <v>10.314438146048699</v>
      </c>
    </row>
    <row r="257" spans="1:6" x14ac:dyDescent="0.25">
      <c r="A257" t="s">
        <v>13</v>
      </c>
      <c r="B257">
        <v>3</v>
      </c>
      <c r="C257">
        <v>9</v>
      </c>
      <c r="D257">
        <v>27.7</v>
      </c>
      <c r="E257">
        <v>-89</v>
      </c>
      <c r="F257">
        <v>10.0136712237413</v>
      </c>
    </row>
    <row r="258" spans="1:6" x14ac:dyDescent="0.25">
      <c r="A258" t="s">
        <v>13</v>
      </c>
      <c r="B258">
        <v>3</v>
      </c>
      <c r="C258">
        <v>9</v>
      </c>
      <c r="D258">
        <v>28.05</v>
      </c>
      <c r="E258">
        <v>-89</v>
      </c>
      <c r="F258">
        <v>8.5831943981327203</v>
      </c>
    </row>
    <row r="259" spans="1:6" x14ac:dyDescent="0.25">
      <c r="A259" t="s">
        <v>13</v>
      </c>
      <c r="B259">
        <v>3</v>
      </c>
      <c r="C259">
        <v>9</v>
      </c>
      <c r="D259">
        <v>28.4</v>
      </c>
      <c r="E259">
        <v>-89</v>
      </c>
      <c r="F259">
        <v>3.33077692564189</v>
      </c>
    </row>
    <row r="260" spans="1:6" x14ac:dyDescent="0.25">
      <c r="A260" t="s">
        <v>13</v>
      </c>
      <c r="B260">
        <v>3</v>
      </c>
      <c r="C260">
        <v>9</v>
      </c>
      <c r="D260">
        <v>28.75</v>
      </c>
      <c r="E260">
        <v>-89</v>
      </c>
      <c r="F260">
        <v>3.0006668889629902</v>
      </c>
    </row>
    <row r="261" spans="1:6" x14ac:dyDescent="0.25">
      <c r="A261" t="s">
        <v>13</v>
      </c>
      <c r="B261">
        <v>3</v>
      </c>
      <c r="C261">
        <v>9</v>
      </c>
      <c r="D261">
        <v>29.1</v>
      </c>
      <c r="E261">
        <v>-89</v>
      </c>
      <c r="F261">
        <v>2.8979659886628899</v>
      </c>
    </row>
    <row r="262" spans="1:6" x14ac:dyDescent="0.25">
      <c r="A262" t="s">
        <v>13</v>
      </c>
      <c r="B262">
        <v>4</v>
      </c>
      <c r="C262">
        <v>9</v>
      </c>
      <c r="D262">
        <v>33.9</v>
      </c>
      <c r="E262">
        <v>-89</v>
      </c>
      <c r="F262">
        <v>3.1857412968524099</v>
      </c>
    </row>
    <row r="263" spans="1:6" x14ac:dyDescent="0.25">
      <c r="A263" t="s">
        <v>13</v>
      </c>
      <c r="B263">
        <v>4</v>
      </c>
      <c r="C263">
        <v>9</v>
      </c>
      <c r="D263">
        <v>34.25</v>
      </c>
      <c r="E263">
        <v>-89</v>
      </c>
      <c r="F263">
        <v>3.31787342898454</v>
      </c>
    </row>
    <row r="264" spans="1:6" x14ac:dyDescent="0.25">
      <c r="A264" t="s">
        <v>13</v>
      </c>
      <c r="B264">
        <v>4</v>
      </c>
      <c r="C264">
        <v>9</v>
      </c>
      <c r="D264">
        <v>34.6</v>
      </c>
      <c r="E264">
        <v>-89</v>
      </c>
      <c r="F264">
        <v>9.1904126348570792</v>
      </c>
    </row>
    <row r="265" spans="1:6" x14ac:dyDescent="0.25">
      <c r="A265" t="s">
        <v>13</v>
      </c>
      <c r="B265">
        <v>4</v>
      </c>
      <c r="C265">
        <v>9</v>
      </c>
      <c r="D265">
        <v>34.950000000000003</v>
      </c>
      <c r="E265">
        <v>-89</v>
      </c>
      <c r="F265">
        <v>10.3208764319875</v>
      </c>
    </row>
    <row r="266" spans="1:6" x14ac:dyDescent="0.25">
      <c r="A266" t="s">
        <v>13</v>
      </c>
      <c r="B266">
        <v>4</v>
      </c>
      <c r="C266">
        <v>9</v>
      </c>
      <c r="D266">
        <v>35.299999999999997</v>
      </c>
      <c r="E266">
        <v>-89</v>
      </c>
      <c r="F266">
        <v>10.5851406962518</v>
      </c>
    </row>
    <row r="267" spans="1:6" x14ac:dyDescent="0.25">
      <c r="A267" t="s">
        <v>13</v>
      </c>
      <c r="B267">
        <v>4</v>
      </c>
      <c r="C267">
        <v>9</v>
      </c>
      <c r="D267">
        <v>35.65</v>
      </c>
      <c r="E267">
        <v>-89</v>
      </c>
      <c r="F267">
        <v>10.6145033922812</v>
      </c>
    </row>
    <row r="268" spans="1:6" x14ac:dyDescent="0.25">
      <c r="A268" t="s">
        <v>13</v>
      </c>
      <c r="B268">
        <v>4</v>
      </c>
      <c r="C268">
        <v>9</v>
      </c>
      <c r="D268">
        <v>36</v>
      </c>
      <c r="E268">
        <v>-89</v>
      </c>
      <c r="F268">
        <v>10.482371260149</v>
      </c>
    </row>
    <row r="269" spans="1:6" x14ac:dyDescent="0.25">
      <c r="A269" t="s">
        <v>13</v>
      </c>
      <c r="B269">
        <v>4</v>
      </c>
      <c r="C269">
        <v>9</v>
      </c>
      <c r="D269">
        <v>36.35</v>
      </c>
      <c r="E269">
        <v>-89</v>
      </c>
      <c r="F269">
        <v>10.3502391280169</v>
      </c>
    </row>
    <row r="270" spans="1:6" x14ac:dyDescent="0.25">
      <c r="A270" t="s">
        <v>13</v>
      </c>
      <c r="B270">
        <v>4</v>
      </c>
      <c r="C270">
        <v>9</v>
      </c>
      <c r="D270">
        <v>36.700000000000003</v>
      </c>
      <c r="E270">
        <v>-89</v>
      </c>
      <c r="F270">
        <v>9.49138026915805</v>
      </c>
    </row>
    <row r="271" spans="1:6" x14ac:dyDescent="0.25">
      <c r="A271" t="s">
        <v>13</v>
      </c>
      <c r="B271">
        <v>4</v>
      </c>
      <c r="C271">
        <v>9</v>
      </c>
      <c r="D271">
        <v>37.049999999999997</v>
      </c>
      <c r="E271">
        <v>-89</v>
      </c>
      <c r="F271">
        <v>2.8187075964853801</v>
      </c>
    </row>
    <row r="272" spans="1:6" x14ac:dyDescent="0.25">
      <c r="A272" t="s">
        <v>13</v>
      </c>
      <c r="B272">
        <v>4</v>
      </c>
      <c r="C272">
        <v>9</v>
      </c>
      <c r="D272">
        <v>37.4</v>
      </c>
      <c r="E272">
        <v>-89</v>
      </c>
      <c r="F272">
        <v>2.6498720943165401</v>
      </c>
    </row>
    <row r="273" spans="1:6" x14ac:dyDescent="0.25">
      <c r="A273" t="s">
        <v>13</v>
      </c>
      <c r="B273">
        <v>4</v>
      </c>
      <c r="C273">
        <v>9</v>
      </c>
      <c r="D273">
        <v>37.75</v>
      </c>
      <c r="E273">
        <v>-89</v>
      </c>
      <c r="F273">
        <v>2.9875430986542102</v>
      </c>
    </row>
    <row r="274" spans="1:6" x14ac:dyDescent="0.25">
      <c r="A274" t="s">
        <v>13</v>
      </c>
      <c r="B274">
        <v>4</v>
      </c>
      <c r="C274">
        <v>9</v>
      </c>
      <c r="D274">
        <v>38.1</v>
      </c>
      <c r="E274">
        <v>-89</v>
      </c>
      <c r="F274">
        <v>3.0536091647202799</v>
      </c>
    </row>
    <row r="275" spans="1:6" x14ac:dyDescent="0.25">
      <c r="A275" t="s">
        <v>13</v>
      </c>
      <c r="B275">
        <v>5</v>
      </c>
      <c r="C275">
        <v>9</v>
      </c>
      <c r="D275">
        <v>42.9</v>
      </c>
      <c r="E275">
        <v>-89</v>
      </c>
      <c r="F275">
        <v>3.1580573951434898</v>
      </c>
    </row>
    <row r="276" spans="1:6" x14ac:dyDescent="0.25">
      <c r="A276" t="s">
        <v>13</v>
      </c>
      <c r="B276">
        <v>5</v>
      </c>
      <c r="C276">
        <v>9</v>
      </c>
      <c r="D276">
        <v>43.25</v>
      </c>
      <c r="E276">
        <v>-89</v>
      </c>
      <c r="F276">
        <v>3.2236203090507698</v>
      </c>
    </row>
    <row r="277" spans="1:6" x14ac:dyDescent="0.25">
      <c r="A277" t="s">
        <v>13</v>
      </c>
      <c r="B277">
        <v>5</v>
      </c>
      <c r="C277">
        <v>9</v>
      </c>
      <c r="D277">
        <v>43.6</v>
      </c>
      <c r="E277">
        <v>-89</v>
      </c>
      <c r="F277">
        <v>9.5103752759381894</v>
      </c>
    </row>
    <row r="278" spans="1:6" x14ac:dyDescent="0.25">
      <c r="A278" t="s">
        <v>13</v>
      </c>
      <c r="B278">
        <v>5</v>
      </c>
      <c r="C278">
        <v>9</v>
      </c>
      <c r="D278">
        <v>43.95</v>
      </c>
      <c r="E278">
        <v>-89</v>
      </c>
      <c r="F278">
        <v>10.2388520971302</v>
      </c>
    </row>
    <row r="279" spans="1:6" x14ac:dyDescent="0.25">
      <c r="A279" t="s">
        <v>13</v>
      </c>
      <c r="B279">
        <v>5</v>
      </c>
      <c r="C279">
        <v>9</v>
      </c>
      <c r="D279">
        <v>44.3</v>
      </c>
      <c r="E279">
        <v>-89</v>
      </c>
      <c r="F279">
        <v>10.5011037527594</v>
      </c>
    </row>
    <row r="280" spans="1:6" x14ac:dyDescent="0.25">
      <c r="A280" t="s">
        <v>13</v>
      </c>
      <c r="B280">
        <v>5</v>
      </c>
      <c r="C280">
        <v>9</v>
      </c>
      <c r="D280">
        <v>44.65</v>
      </c>
      <c r="E280">
        <v>-89</v>
      </c>
      <c r="F280">
        <v>10.5011037527594</v>
      </c>
    </row>
    <row r="281" spans="1:6" x14ac:dyDescent="0.25">
      <c r="A281" t="s">
        <v>13</v>
      </c>
      <c r="B281">
        <v>5</v>
      </c>
      <c r="C281">
        <v>9</v>
      </c>
      <c r="D281">
        <v>45</v>
      </c>
      <c r="E281">
        <v>-89</v>
      </c>
      <c r="F281">
        <v>10.3699779249448</v>
      </c>
    </row>
    <row r="282" spans="1:6" x14ac:dyDescent="0.25">
      <c r="A282" t="s">
        <v>13</v>
      </c>
      <c r="B282">
        <v>5</v>
      </c>
      <c r="C282">
        <v>9</v>
      </c>
      <c r="D282">
        <v>45.35</v>
      </c>
      <c r="E282">
        <v>-89</v>
      </c>
      <c r="F282">
        <v>10.0713024282561</v>
      </c>
    </row>
    <row r="283" spans="1:6" x14ac:dyDescent="0.25">
      <c r="A283" t="s">
        <v>13</v>
      </c>
      <c r="B283">
        <v>5</v>
      </c>
      <c r="C283">
        <v>9</v>
      </c>
      <c r="D283">
        <v>45.7</v>
      </c>
      <c r="E283">
        <v>-89</v>
      </c>
      <c r="F283">
        <v>8.7891832229580604</v>
      </c>
    </row>
    <row r="284" spans="1:6" x14ac:dyDescent="0.25">
      <c r="A284" t="s">
        <v>13</v>
      </c>
      <c r="B284">
        <v>5</v>
      </c>
      <c r="C284">
        <v>9</v>
      </c>
      <c r="D284">
        <v>46.05</v>
      </c>
      <c r="E284">
        <v>-89</v>
      </c>
      <c r="F284">
        <v>3.4494481236203098</v>
      </c>
    </row>
    <row r="285" spans="1:6" x14ac:dyDescent="0.25">
      <c r="A285" t="s">
        <v>13</v>
      </c>
      <c r="B285">
        <v>5</v>
      </c>
      <c r="C285">
        <v>9</v>
      </c>
      <c r="D285">
        <v>46.4</v>
      </c>
      <c r="E285">
        <v>-89</v>
      </c>
      <c r="F285">
        <v>2.8593818984547399</v>
      </c>
    </row>
    <row r="286" spans="1:6" x14ac:dyDescent="0.25">
      <c r="A286" t="s">
        <v>13</v>
      </c>
      <c r="B286">
        <v>5</v>
      </c>
      <c r="C286">
        <v>9</v>
      </c>
      <c r="D286">
        <v>46.75</v>
      </c>
      <c r="E286">
        <v>-89</v>
      </c>
      <c r="F286">
        <v>2.9905077262693101</v>
      </c>
    </row>
    <row r="287" spans="1:6" x14ac:dyDescent="0.25">
      <c r="A287" t="s">
        <v>13</v>
      </c>
      <c r="B287">
        <v>5</v>
      </c>
      <c r="C287">
        <v>9</v>
      </c>
      <c r="D287">
        <v>47.1</v>
      </c>
      <c r="E287">
        <v>-89</v>
      </c>
      <c r="F287">
        <v>3.0924944812362001</v>
      </c>
    </row>
    <row r="288" spans="1:6" x14ac:dyDescent="0.25">
      <c r="A288" t="s">
        <v>13</v>
      </c>
      <c r="B288">
        <v>6</v>
      </c>
      <c r="C288">
        <v>9</v>
      </c>
      <c r="D288">
        <v>51.9</v>
      </c>
      <c r="E288">
        <v>-89</v>
      </c>
      <c r="F288">
        <v>8.4103930712858102</v>
      </c>
    </row>
    <row r="289" spans="1:6" x14ac:dyDescent="0.25">
      <c r="A289" t="s">
        <v>13</v>
      </c>
      <c r="B289">
        <v>6</v>
      </c>
      <c r="C289">
        <v>9</v>
      </c>
      <c r="D289">
        <v>52.25</v>
      </c>
      <c r="E289">
        <v>-89</v>
      </c>
      <c r="F289">
        <v>9.7368421052631593</v>
      </c>
    </row>
    <row r="290" spans="1:6" x14ac:dyDescent="0.25">
      <c r="A290" t="s">
        <v>13</v>
      </c>
      <c r="B290">
        <v>6</v>
      </c>
      <c r="C290">
        <v>9</v>
      </c>
      <c r="D290">
        <v>52.6</v>
      </c>
      <c r="E290">
        <v>-89</v>
      </c>
      <c r="F290">
        <v>10.5063291139241</v>
      </c>
    </row>
    <row r="291" spans="1:6" x14ac:dyDescent="0.25">
      <c r="A291" t="s">
        <v>13</v>
      </c>
      <c r="B291">
        <v>6</v>
      </c>
      <c r="C291">
        <v>9</v>
      </c>
      <c r="D291">
        <v>52.95</v>
      </c>
      <c r="E291">
        <v>-89</v>
      </c>
      <c r="F291">
        <v>10.6675549633578</v>
      </c>
    </row>
    <row r="292" spans="1:6" x14ac:dyDescent="0.25">
      <c r="A292" t="s">
        <v>13</v>
      </c>
      <c r="B292">
        <v>6</v>
      </c>
      <c r="C292">
        <v>9</v>
      </c>
      <c r="D292">
        <v>53.3</v>
      </c>
      <c r="E292">
        <v>-89</v>
      </c>
      <c r="F292">
        <v>10.799467021985301</v>
      </c>
    </row>
    <row r="293" spans="1:6" x14ac:dyDescent="0.25">
      <c r="A293" t="s">
        <v>13</v>
      </c>
      <c r="B293">
        <v>6</v>
      </c>
      <c r="C293">
        <v>9</v>
      </c>
      <c r="D293">
        <v>53.65</v>
      </c>
      <c r="E293">
        <v>-89</v>
      </c>
      <c r="F293">
        <v>10.733510992671601</v>
      </c>
    </row>
    <row r="294" spans="1:6" x14ac:dyDescent="0.25">
      <c r="A294" t="s">
        <v>13</v>
      </c>
      <c r="B294">
        <v>6</v>
      </c>
      <c r="C294">
        <v>9</v>
      </c>
      <c r="D294">
        <v>54</v>
      </c>
      <c r="E294">
        <v>-89</v>
      </c>
      <c r="F294">
        <v>10.601598934044</v>
      </c>
    </row>
    <row r="295" spans="1:6" x14ac:dyDescent="0.25">
      <c r="A295" t="s">
        <v>13</v>
      </c>
      <c r="B295">
        <v>6</v>
      </c>
      <c r="C295">
        <v>9</v>
      </c>
      <c r="D295">
        <v>54.35</v>
      </c>
      <c r="E295">
        <v>-89</v>
      </c>
      <c r="F295">
        <v>10.271818787475</v>
      </c>
    </row>
    <row r="296" spans="1:6" x14ac:dyDescent="0.25">
      <c r="A296" t="s">
        <v>13</v>
      </c>
      <c r="B296">
        <v>6</v>
      </c>
      <c r="C296">
        <v>9</v>
      </c>
      <c r="D296">
        <v>54.7</v>
      </c>
      <c r="E296">
        <v>-89</v>
      </c>
      <c r="F296">
        <v>8.5129913391072591</v>
      </c>
    </row>
    <row r="297" spans="1:6" x14ac:dyDescent="0.25">
      <c r="A297" t="s">
        <v>13</v>
      </c>
      <c r="B297">
        <v>6</v>
      </c>
      <c r="C297">
        <v>9</v>
      </c>
      <c r="D297">
        <v>55.05</v>
      </c>
      <c r="E297">
        <v>-89</v>
      </c>
      <c r="F297">
        <v>7.6115922718187896</v>
      </c>
    </row>
    <row r="298" spans="1:6" x14ac:dyDescent="0.25">
      <c r="A298" t="s">
        <v>13</v>
      </c>
      <c r="B298">
        <v>6</v>
      </c>
      <c r="C298">
        <v>9</v>
      </c>
      <c r="D298">
        <v>55.4</v>
      </c>
      <c r="E298">
        <v>-89</v>
      </c>
      <c r="F298">
        <v>3.19253830779481</v>
      </c>
    </row>
    <row r="299" spans="1:6" x14ac:dyDescent="0.25">
      <c r="A299" t="s">
        <v>13</v>
      </c>
      <c r="B299">
        <v>6</v>
      </c>
      <c r="C299">
        <v>9</v>
      </c>
      <c r="D299">
        <v>55.75</v>
      </c>
      <c r="E299">
        <v>-89</v>
      </c>
      <c r="F299">
        <v>3.1558960692871398</v>
      </c>
    </row>
    <row r="300" spans="1:6" x14ac:dyDescent="0.25">
      <c r="A300" t="s">
        <v>13</v>
      </c>
      <c r="B300">
        <v>6</v>
      </c>
      <c r="C300">
        <v>9</v>
      </c>
      <c r="D300">
        <v>56.1</v>
      </c>
      <c r="E300">
        <v>-89</v>
      </c>
      <c r="F300">
        <v>3.2291805463024699</v>
      </c>
    </row>
    <row r="301" spans="1:6" x14ac:dyDescent="0.25">
      <c r="A301" t="s">
        <v>13</v>
      </c>
      <c r="B301">
        <v>7</v>
      </c>
      <c r="C301">
        <v>9</v>
      </c>
      <c r="D301">
        <v>60.9</v>
      </c>
      <c r="E301">
        <v>-89</v>
      </c>
      <c r="F301">
        <v>9.3951935914552696</v>
      </c>
    </row>
    <row r="302" spans="1:6" x14ac:dyDescent="0.25">
      <c r="A302" t="s">
        <v>13</v>
      </c>
      <c r="B302">
        <v>7</v>
      </c>
      <c r="C302">
        <v>9</v>
      </c>
      <c r="D302">
        <v>61.25</v>
      </c>
      <c r="E302">
        <v>-89</v>
      </c>
      <c r="F302">
        <v>10.276368491321801</v>
      </c>
    </row>
    <row r="303" spans="1:6" x14ac:dyDescent="0.25">
      <c r="A303" t="s">
        <v>13</v>
      </c>
      <c r="B303">
        <v>7</v>
      </c>
      <c r="C303">
        <v>9</v>
      </c>
      <c r="D303">
        <v>61.6</v>
      </c>
      <c r="E303">
        <v>-89</v>
      </c>
      <c r="F303">
        <v>10.643524699599499</v>
      </c>
    </row>
    <row r="304" spans="1:6" x14ac:dyDescent="0.25">
      <c r="A304" t="s">
        <v>13</v>
      </c>
      <c r="B304">
        <v>7</v>
      </c>
      <c r="C304">
        <v>9</v>
      </c>
      <c r="D304">
        <v>61.95</v>
      </c>
      <c r="E304">
        <v>-89</v>
      </c>
      <c r="F304">
        <v>10.8124165554072</v>
      </c>
    </row>
    <row r="305" spans="1:6" x14ac:dyDescent="0.25">
      <c r="A305" t="s">
        <v>13</v>
      </c>
      <c r="B305">
        <v>7</v>
      </c>
      <c r="C305">
        <v>9</v>
      </c>
      <c r="D305">
        <v>62.3</v>
      </c>
      <c r="E305">
        <v>-89</v>
      </c>
      <c r="F305">
        <v>10.8124165554072</v>
      </c>
    </row>
    <row r="306" spans="1:6" x14ac:dyDescent="0.25">
      <c r="A306" t="s">
        <v>13</v>
      </c>
      <c r="B306">
        <v>7</v>
      </c>
      <c r="C306">
        <v>9</v>
      </c>
      <c r="D306">
        <v>62.65</v>
      </c>
      <c r="E306">
        <v>-89</v>
      </c>
      <c r="F306">
        <v>10.7096128170894</v>
      </c>
    </row>
    <row r="307" spans="1:6" x14ac:dyDescent="0.25">
      <c r="A307" t="s">
        <v>13</v>
      </c>
      <c r="B307">
        <v>7</v>
      </c>
      <c r="C307">
        <v>9</v>
      </c>
      <c r="D307">
        <v>63</v>
      </c>
      <c r="E307">
        <v>-89</v>
      </c>
      <c r="F307">
        <v>10.5113484646195</v>
      </c>
    </row>
    <row r="308" spans="1:6" x14ac:dyDescent="0.25">
      <c r="A308" t="s">
        <v>13</v>
      </c>
      <c r="B308">
        <v>7</v>
      </c>
      <c r="C308">
        <v>9</v>
      </c>
      <c r="D308">
        <v>63.35</v>
      </c>
      <c r="E308">
        <v>-89</v>
      </c>
      <c r="F308">
        <v>9.6668891855807697</v>
      </c>
    </row>
    <row r="309" spans="1:6" x14ac:dyDescent="0.25">
      <c r="A309" t="s">
        <v>13</v>
      </c>
      <c r="B309">
        <v>7</v>
      </c>
      <c r="C309">
        <v>9</v>
      </c>
      <c r="D309">
        <v>63.7</v>
      </c>
      <c r="E309">
        <v>-89</v>
      </c>
      <c r="F309">
        <v>8.8591455273698205</v>
      </c>
    </row>
    <row r="310" spans="1:6" x14ac:dyDescent="0.25">
      <c r="A310" t="s">
        <v>13</v>
      </c>
      <c r="B310">
        <v>7</v>
      </c>
      <c r="C310">
        <v>9</v>
      </c>
      <c r="D310">
        <v>64.05</v>
      </c>
      <c r="E310">
        <v>-89</v>
      </c>
      <c r="F310">
        <v>6.05407209612817</v>
      </c>
    </row>
    <row r="311" spans="1:6" x14ac:dyDescent="0.25">
      <c r="A311" t="s">
        <v>13</v>
      </c>
      <c r="B311">
        <v>7</v>
      </c>
      <c r="C311">
        <v>9</v>
      </c>
      <c r="D311">
        <v>64.400000000000006</v>
      </c>
      <c r="E311">
        <v>-89</v>
      </c>
      <c r="F311">
        <v>5.4813084112149504</v>
      </c>
    </row>
    <row r="312" spans="1:6" x14ac:dyDescent="0.25">
      <c r="A312" t="s">
        <v>13</v>
      </c>
      <c r="B312">
        <v>7</v>
      </c>
      <c r="C312">
        <v>9</v>
      </c>
      <c r="D312">
        <v>64.75</v>
      </c>
      <c r="E312">
        <v>-89</v>
      </c>
      <c r="F312">
        <v>3.3224299065420499</v>
      </c>
    </row>
    <row r="313" spans="1:6" x14ac:dyDescent="0.25">
      <c r="A313" t="s">
        <v>13</v>
      </c>
      <c r="B313">
        <v>7</v>
      </c>
      <c r="C313">
        <v>9</v>
      </c>
      <c r="D313">
        <v>65.099999999999994</v>
      </c>
      <c r="E313">
        <v>-89</v>
      </c>
      <c r="F313">
        <v>3.3224299065420499</v>
      </c>
    </row>
    <row r="314" spans="1:6" x14ac:dyDescent="0.25">
      <c r="A314" t="s">
        <v>13</v>
      </c>
      <c r="B314">
        <v>0</v>
      </c>
      <c r="C314">
        <v>8</v>
      </c>
      <c r="D314">
        <v>-2.1</v>
      </c>
      <c r="E314">
        <v>-80</v>
      </c>
      <c r="F314">
        <v>7.68354992780184</v>
      </c>
    </row>
    <row r="315" spans="1:6" x14ac:dyDescent="0.25">
      <c r="A315" t="s">
        <v>13</v>
      </c>
      <c r="B315">
        <v>0</v>
      </c>
      <c r="C315">
        <v>8</v>
      </c>
      <c r="D315">
        <v>-1.75</v>
      </c>
      <c r="E315">
        <v>-80</v>
      </c>
      <c r="F315">
        <v>8.8931467288681496</v>
      </c>
    </row>
    <row r="316" spans="1:6" x14ac:dyDescent="0.25">
      <c r="A316" t="s">
        <v>13</v>
      </c>
      <c r="B316">
        <v>0</v>
      </c>
      <c r="C316">
        <v>8</v>
      </c>
      <c r="D316">
        <v>-1.4</v>
      </c>
      <c r="E316">
        <v>-80</v>
      </c>
      <c r="F316">
        <v>9.5675885815839194</v>
      </c>
    </row>
    <row r="317" spans="1:6" x14ac:dyDescent="0.25">
      <c r="A317" t="s">
        <v>13</v>
      </c>
      <c r="B317">
        <v>0</v>
      </c>
      <c r="C317">
        <v>8</v>
      </c>
      <c r="D317">
        <v>-1.05</v>
      </c>
      <c r="E317">
        <v>-80</v>
      </c>
      <c r="F317">
        <v>10.0734199711207</v>
      </c>
    </row>
    <row r="318" spans="1:6" x14ac:dyDescent="0.25">
      <c r="A318" t="s">
        <v>13</v>
      </c>
      <c r="B318">
        <v>0</v>
      </c>
      <c r="C318">
        <v>8</v>
      </c>
      <c r="D318">
        <v>-0.7</v>
      </c>
      <c r="E318">
        <v>-80</v>
      </c>
      <c r="F318">
        <v>10.373986448961499</v>
      </c>
    </row>
    <row r="319" spans="1:6" x14ac:dyDescent="0.25">
      <c r="A319" t="s">
        <v>13</v>
      </c>
      <c r="B319">
        <v>0</v>
      </c>
      <c r="C319">
        <v>8</v>
      </c>
      <c r="D319">
        <v>-0.35</v>
      </c>
      <c r="E319">
        <v>-80</v>
      </c>
      <c r="F319">
        <v>10.5425969121404</v>
      </c>
    </row>
    <row r="320" spans="1:6" x14ac:dyDescent="0.25">
      <c r="A320" t="s">
        <v>13</v>
      </c>
      <c r="B320">
        <v>0</v>
      </c>
      <c r="C320">
        <v>8</v>
      </c>
      <c r="D320" s="1">
        <v>-4.4408920985006301E-16</v>
      </c>
      <c r="E320">
        <v>-80</v>
      </c>
      <c r="F320">
        <v>10.579251360657601</v>
      </c>
    </row>
    <row r="321" spans="1:6" x14ac:dyDescent="0.25">
      <c r="A321" t="s">
        <v>13</v>
      </c>
      <c r="B321">
        <v>0</v>
      </c>
      <c r="C321">
        <v>8</v>
      </c>
      <c r="D321">
        <v>0.35</v>
      </c>
      <c r="E321">
        <v>-80</v>
      </c>
      <c r="F321">
        <v>10.579251360657601</v>
      </c>
    </row>
    <row r="322" spans="1:6" x14ac:dyDescent="0.25">
      <c r="A322" t="s">
        <v>13</v>
      </c>
      <c r="B322">
        <v>0</v>
      </c>
      <c r="C322">
        <v>8</v>
      </c>
      <c r="D322">
        <v>0.7</v>
      </c>
      <c r="E322">
        <v>-80</v>
      </c>
      <c r="F322">
        <v>10.4766189048095</v>
      </c>
    </row>
    <row r="323" spans="1:6" x14ac:dyDescent="0.25">
      <c r="A323" t="s">
        <v>13</v>
      </c>
      <c r="B323">
        <v>0</v>
      </c>
      <c r="C323">
        <v>8</v>
      </c>
      <c r="D323">
        <v>1.05</v>
      </c>
      <c r="E323">
        <v>-80</v>
      </c>
      <c r="F323">
        <v>10.271353993113401</v>
      </c>
    </row>
    <row r="324" spans="1:6" x14ac:dyDescent="0.25">
      <c r="A324" t="s">
        <v>13</v>
      </c>
      <c r="B324">
        <v>0</v>
      </c>
      <c r="C324">
        <v>8</v>
      </c>
      <c r="D324">
        <v>1.4</v>
      </c>
      <c r="E324">
        <v>-80</v>
      </c>
      <c r="F324">
        <v>9.6702210374319701</v>
      </c>
    </row>
    <row r="325" spans="1:6" x14ac:dyDescent="0.25">
      <c r="A325" t="s">
        <v>13</v>
      </c>
      <c r="B325">
        <v>0</v>
      </c>
      <c r="C325">
        <v>8</v>
      </c>
      <c r="D325">
        <v>1.75</v>
      </c>
      <c r="E325">
        <v>-80</v>
      </c>
      <c r="F325">
        <v>7.81550594246362</v>
      </c>
    </row>
    <row r="326" spans="1:6" x14ac:dyDescent="0.25">
      <c r="A326" t="s">
        <v>13</v>
      </c>
      <c r="B326">
        <v>0</v>
      </c>
      <c r="C326">
        <v>8</v>
      </c>
      <c r="D326">
        <v>2.1</v>
      </c>
      <c r="E326">
        <v>-80</v>
      </c>
      <c r="F326">
        <v>3.2996778851493902</v>
      </c>
    </row>
    <row r="327" spans="1:6" x14ac:dyDescent="0.25">
      <c r="A327" t="s">
        <v>13</v>
      </c>
      <c r="B327">
        <v>1</v>
      </c>
      <c r="C327">
        <v>8</v>
      </c>
      <c r="D327">
        <v>6.9</v>
      </c>
      <c r="E327">
        <v>-80</v>
      </c>
      <c r="F327">
        <v>3.0017801513128601</v>
      </c>
    </row>
    <row r="328" spans="1:6" x14ac:dyDescent="0.25">
      <c r="A328" t="s">
        <v>13</v>
      </c>
      <c r="B328">
        <v>1</v>
      </c>
      <c r="C328">
        <v>8</v>
      </c>
      <c r="D328">
        <v>7.25</v>
      </c>
      <c r="E328">
        <v>-80</v>
      </c>
      <c r="F328">
        <v>3.17067200712061</v>
      </c>
    </row>
    <row r="329" spans="1:6" x14ac:dyDescent="0.25">
      <c r="A329" t="s">
        <v>13</v>
      </c>
      <c r="B329">
        <v>1</v>
      </c>
      <c r="C329">
        <v>8</v>
      </c>
      <c r="D329">
        <v>7.6</v>
      </c>
      <c r="E329">
        <v>-80</v>
      </c>
      <c r="F329">
        <v>8.9350244770805496</v>
      </c>
    </row>
    <row r="330" spans="1:6" x14ac:dyDescent="0.25">
      <c r="A330" t="s">
        <v>13</v>
      </c>
      <c r="B330">
        <v>1</v>
      </c>
      <c r="C330">
        <v>8</v>
      </c>
      <c r="D330">
        <v>7.95</v>
      </c>
      <c r="E330">
        <v>-80</v>
      </c>
      <c r="F330">
        <v>9.6693368936359594</v>
      </c>
    </row>
    <row r="331" spans="1:6" x14ac:dyDescent="0.25">
      <c r="A331" t="s">
        <v>13</v>
      </c>
      <c r="B331">
        <v>1</v>
      </c>
      <c r="C331">
        <v>8</v>
      </c>
      <c r="D331">
        <v>8.3000000000000007</v>
      </c>
      <c r="E331">
        <v>-80</v>
      </c>
      <c r="F331">
        <v>10.0658655985759</v>
      </c>
    </row>
    <row r="332" spans="1:6" x14ac:dyDescent="0.25">
      <c r="A332" t="s">
        <v>13</v>
      </c>
      <c r="B332">
        <v>1</v>
      </c>
      <c r="C332">
        <v>8</v>
      </c>
      <c r="D332">
        <v>8.65</v>
      </c>
      <c r="E332">
        <v>-80</v>
      </c>
      <c r="F332">
        <v>10.234757454383599</v>
      </c>
    </row>
    <row r="333" spans="1:6" x14ac:dyDescent="0.25">
      <c r="A333" t="s">
        <v>13</v>
      </c>
      <c r="B333">
        <v>1</v>
      </c>
      <c r="C333">
        <v>8</v>
      </c>
      <c r="D333">
        <v>9</v>
      </c>
      <c r="E333">
        <v>-80</v>
      </c>
      <c r="F333">
        <v>10.234757454383599</v>
      </c>
    </row>
    <row r="334" spans="1:6" x14ac:dyDescent="0.25">
      <c r="A334" t="s">
        <v>13</v>
      </c>
      <c r="B334">
        <v>1</v>
      </c>
      <c r="C334">
        <v>8</v>
      </c>
      <c r="D334">
        <v>9.35</v>
      </c>
      <c r="E334">
        <v>-80</v>
      </c>
      <c r="F334">
        <v>10.0658655985759</v>
      </c>
    </row>
    <row r="335" spans="1:6" x14ac:dyDescent="0.25">
      <c r="A335" t="s">
        <v>13</v>
      </c>
      <c r="B335">
        <v>1</v>
      </c>
      <c r="C335">
        <v>8</v>
      </c>
      <c r="D335">
        <v>9.6999999999999993</v>
      </c>
      <c r="E335">
        <v>-80</v>
      </c>
      <c r="F335">
        <v>9.8015131286159303</v>
      </c>
    </row>
    <row r="336" spans="1:6" x14ac:dyDescent="0.25">
      <c r="A336" t="s">
        <v>13</v>
      </c>
      <c r="B336">
        <v>1</v>
      </c>
      <c r="C336">
        <v>8</v>
      </c>
      <c r="D336">
        <v>10.050000000000001</v>
      </c>
      <c r="E336">
        <v>-80</v>
      </c>
      <c r="F336">
        <v>8.9056519804183392</v>
      </c>
    </row>
    <row r="337" spans="1:6" x14ac:dyDescent="0.25">
      <c r="A337" t="s">
        <v>13</v>
      </c>
      <c r="B337">
        <v>1</v>
      </c>
      <c r="C337">
        <v>8</v>
      </c>
      <c r="D337">
        <v>10.4</v>
      </c>
      <c r="E337">
        <v>-80</v>
      </c>
      <c r="F337">
        <v>6.2988429016466396</v>
      </c>
    </row>
    <row r="338" spans="1:6" x14ac:dyDescent="0.25">
      <c r="A338" t="s">
        <v>13</v>
      </c>
      <c r="B338">
        <v>1</v>
      </c>
      <c r="C338">
        <v>8</v>
      </c>
      <c r="D338">
        <v>10.75</v>
      </c>
      <c r="E338">
        <v>-80</v>
      </c>
      <c r="F338">
        <v>3.20004450378282</v>
      </c>
    </row>
    <row r="339" spans="1:6" x14ac:dyDescent="0.25">
      <c r="A339" t="s">
        <v>13</v>
      </c>
      <c r="B339">
        <v>1</v>
      </c>
      <c r="C339">
        <v>8</v>
      </c>
      <c r="D339">
        <v>11.1</v>
      </c>
      <c r="E339">
        <v>-80</v>
      </c>
      <c r="F339">
        <v>2.9356920338228698</v>
      </c>
    </row>
    <row r="340" spans="1:6" x14ac:dyDescent="0.25">
      <c r="A340" t="s">
        <v>13</v>
      </c>
      <c r="B340">
        <v>2</v>
      </c>
      <c r="C340">
        <v>8</v>
      </c>
      <c r="D340">
        <v>15.9</v>
      </c>
      <c r="E340">
        <v>-80</v>
      </c>
      <c r="F340">
        <v>3.0157777777777701</v>
      </c>
    </row>
    <row r="341" spans="1:6" x14ac:dyDescent="0.25">
      <c r="A341" t="s">
        <v>13</v>
      </c>
      <c r="B341">
        <v>2</v>
      </c>
      <c r="C341">
        <v>8</v>
      </c>
      <c r="D341">
        <v>16.25</v>
      </c>
      <c r="E341">
        <v>-80</v>
      </c>
      <c r="F341">
        <v>2.98644444444444</v>
      </c>
    </row>
    <row r="342" spans="1:6" x14ac:dyDescent="0.25">
      <c r="A342" t="s">
        <v>13</v>
      </c>
      <c r="B342">
        <v>2</v>
      </c>
      <c r="C342">
        <v>8</v>
      </c>
      <c r="D342">
        <v>16.600000000000001</v>
      </c>
      <c r="E342">
        <v>-80</v>
      </c>
      <c r="F342">
        <v>2.98644444444444</v>
      </c>
    </row>
    <row r="343" spans="1:6" x14ac:dyDescent="0.25">
      <c r="A343" t="s">
        <v>13</v>
      </c>
      <c r="B343">
        <v>2</v>
      </c>
      <c r="C343">
        <v>8</v>
      </c>
      <c r="D343">
        <v>16.95</v>
      </c>
      <c r="E343">
        <v>-80</v>
      </c>
      <c r="F343">
        <v>9.4544444444444409</v>
      </c>
    </row>
    <row r="344" spans="1:6" x14ac:dyDescent="0.25">
      <c r="A344" t="s">
        <v>13</v>
      </c>
      <c r="B344">
        <v>2</v>
      </c>
      <c r="C344">
        <v>8</v>
      </c>
      <c r="D344">
        <v>17.3</v>
      </c>
      <c r="E344">
        <v>-80</v>
      </c>
      <c r="F344">
        <v>10.253777777777801</v>
      </c>
    </row>
    <row r="345" spans="1:6" x14ac:dyDescent="0.25">
      <c r="A345" t="s">
        <v>13</v>
      </c>
      <c r="B345">
        <v>2</v>
      </c>
      <c r="C345">
        <v>8</v>
      </c>
      <c r="D345">
        <v>17.649999999999999</v>
      </c>
      <c r="E345">
        <v>-80</v>
      </c>
      <c r="F345">
        <v>10.3857777777778</v>
      </c>
    </row>
    <row r="346" spans="1:6" x14ac:dyDescent="0.25">
      <c r="A346" t="s">
        <v>13</v>
      </c>
      <c r="B346">
        <v>2</v>
      </c>
      <c r="C346">
        <v>8</v>
      </c>
      <c r="D346">
        <v>18</v>
      </c>
      <c r="E346">
        <v>-80</v>
      </c>
      <c r="F346">
        <v>10.3491111111111</v>
      </c>
    </row>
    <row r="347" spans="1:6" x14ac:dyDescent="0.25">
      <c r="A347" t="s">
        <v>13</v>
      </c>
      <c r="B347">
        <v>2</v>
      </c>
      <c r="C347">
        <v>8</v>
      </c>
      <c r="D347">
        <v>18.350000000000001</v>
      </c>
      <c r="E347">
        <v>-80</v>
      </c>
      <c r="F347">
        <v>10.3197777777778</v>
      </c>
    </row>
    <row r="348" spans="1:6" x14ac:dyDescent="0.25">
      <c r="A348" t="s">
        <v>13</v>
      </c>
      <c r="B348">
        <v>2</v>
      </c>
      <c r="C348">
        <v>8</v>
      </c>
      <c r="D348">
        <v>18.7</v>
      </c>
      <c r="E348">
        <v>-80</v>
      </c>
      <c r="F348">
        <v>10.121777777777799</v>
      </c>
    </row>
    <row r="349" spans="1:6" x14ac:dyDescent="0.25">
      <c r="A349" t="s">
        <v>13</v>
      </c>
      <c r="B349">
        <v>2</v>
      </c>
      <c r="C349">
        <v>8</v>
      </c>
      <c r="D349">
        <v>19.05</v>
      </c>
      <c r="E349">
        <v>-80</v>
      </c>
      <c r="F349">
        <v>8.9557777777777705</v>
      </c>
    </row>
    <row r="350" spans="1:6" x14ac:dyDescent="0.25">
      <c r="A350" t="s">
        <v>13</v>
      </c>
      <c r="B350">
        <v>2</v>
      </c>
      <c r="C350">
        <v>8</v>
      </c>
      <c r="D350">
        <v>19.399999999999999</v>
      </c>
      <c r="E350">
        <v>-80</v>
      </c>
      <c r="F350">
        <v>2.8544444444444399</v>
      </c>
    </row>
    <row r="351" spans="1:6" x14ac:dyDescent="0.25">
      <c r="A351" t="s">
        <v>13</v>
      </c>
      <c r="B351">
        <v>2</v>
      </c>
      <c r="C351">
        <v>8</v>
      </c>
      <c r="D351">
        <v>19.75</v>
      </c>
      <c r="E351">
        <v>-80</v>
      </c>
      <c r="F351">
        <v>2.7224444444444398</v>
      </c>
    </row>
    <row r="352" spans="1:6" x14ac:dyDescent="0.25">
      <c r="A352" t="s">
        <v>13</v>
      </c>
      <c r="B352">
        <v>2</v>
      </c>
      <c r="C352">
        <v>8</v>
      </c>
      <c r="D352">
        <v>20.100000000000001</v>
      </c>
      <c r="E352">
        <v>-80</v>
      </c>
      <c r="F352">
        <v>2.9204444444444402</v>
      </c>
    </row>
    <row r="353" spans="1:6" x14ac:dyDescent="0.25">
      <c r="A353" t="s">
        <v>13</v>
      </c>
      <c r="B353">
        <v>3</v>
      </c>
      <c r="C353">
        <v>8</v>
      </c>
      <c r="D353">
        <v>24.9</v>
      </c>
      <c r="E353">
        <v>-80</v>
      </c>
      <c r="F353">
        <v>3.0006668889629902</v>
      </c>
    </row>
    <row r="354" spans="1:6" x14ac:dyDescent="0.25">
      <c r="A354" t="s">
        <v>13</v>
      </c>
      <c r="B354">
        <v>3</v>
      </c>
      <c r="C354">
        <v>8</v>
      </c>
      <c r="D354">
        <v>25.25</v>
      </c>
      <c r="E354">
        <v>-80</v>
      </c>
      <c r="F354">
        <v>3.06668889629877</v>
      </c>
    </row>
    <row r="355" spans="1:6" x14ac:dyDescent="0.25">
      <c r="A355" t="s">
        <v>13</v>
      </c>
      <c r="B355">
        <v>3</v>
      </c>
      <c r="C355">
        <v>8</v>
      </c>
      <c r="D355">
        <v>25.95</v>
      </c>
      <c r="E355">
        <v>-80</v>
      </c>
      <c r="F355">
        <v>10.1090363454485</v>
      </c>
    </row>
    <row r="356" spans="1:6" x14ac:dyDescent="0.25">
      <c r="A356" t="s">
        <v>13</v>
      </c>
      <c r="B356">
        <v>3</v>
      </c>
      <c r="C356">
        <v>8</v>
      </c>
      <c r="D356">
        <v>26.3</v>
      </c>
      <c r="E356">
        <v>-80</v>
      </c>
      <c r="F356">
        <v>10.409803267755899</v>
      </c>
    </row>
    <row r="357" spans="1:6" x14ac:dyDescent="0.25">
      <c r="A357" t="s">
        <v>13</v>
      </c>
      <c r="B357">
        <v>3</v>
      </c>
      <c r="C357">
        <v>8</v>
      </c>
      <c r="D357">
        <v>26.65</v>
      </c>
      <c r="E357">
        <v>-80</v>
      </c>
      <c r="F357">
        <v>10.578526175391801</v>
      </c>
    </row>
    <row r="358" spans="1:6" x14ac:dyDescent="0.25">
      <c r="A358" t="s">
        <v>13</v>
      </c>
      <c r="B358">
        <v>3</v>
      </c>
      <c r="C358">
        <v>8</v>
      </c>
      <c r="D358">
        <v>27</v>
      </c>
      <c r="E358">
        <v>-80</v>
      </c>
      <c r="F358">
        <v>10.475825275091699</v>
      </c>
    </row>
    <row r="359" spans="1:6" x14ac:dyDescent="0.25">
      <c r="A359" t="s">
        <v>13</v>
      </c>
      <c r="B359">
        <v>3</v>
      </c>
      <c r="C359">
        <v>8</v>
      </c>
      <c r="D359">
        <v>27.35</v>
      </c>
      <c r="E359">
        <v>-80</v>
      </c>
      <c r="F359">
        <v>10.446482160720199</v>
      </c>
    </row>
    <row r="360" spans="1:6" x14ac:dyDescent="0.25">
      <c r="A360" t="s">
        <v>13</v>
      </c>
      <c r="B360">
        <v>3</v>
      </c>
      <c r="C360">
        <v>8</v>
      </c>
      <c r="D360">
        <v>27.7</v>
      </c>
      <c r="E360">
        <v>-80</v>
      </c>
      <c r="F360">
        <v>10.1090363454485</v>
      </c>
    </row>
    <row r="361" spans="1:6" x14ac:dyDescent="0.25">
      <c r="A361" t="s">
        <v>13</v>
      </c>
      <c r="B361">
        <v>3</v>
      </c>
      <c r="C361">
        <v>8</v>
      </c>
      <c r="D361">
        <v>28.05</v>
      </c>
      <c r="E361">
        <v>-80</v>
      </c>
      <c r="F361">
        <v>8.8472824274758306</v>
      </c>
    </row>
    <row r="362" spans="1:6" x14ac:dyDescent="0.25">
      <c r="A362" t="s">
        <v>13</v>
      </c>
      <c r="B362">
        <v>3</v>
      </c>
      <c r="C362">
        <v>8</v>
      </c>
      <c r="D362">
        <v>28.4</v>
      </c>
      <c r="E362">
        <v>-80</v>
      </c>
      <c r="F362">
        <v>3.5361787262420799</v>
      </c>
    </row>
    <row r="363" spans="1:6" x14ac:dyDescent="0.25">
      <c r="A363" t="s">
        <v>13</v>
      </c>
      <c r="B363">
        <v>3</v>
      </c>
      <c r="C363">
        <v>8</v>
      </c>
      <c r="D363">
        <v>28.75</v>
      </c>
      <c r="E363">
        <v>-80</v>
      </c>
      <c r="F363">
        <v>3.0373457819273102</v>
      </c>
    </row>
    <row r="364" spans="1:6" x14ac:dyDescent="0.25">
      <c r="A364" t="s">
        <v>13</v>
      </c>
      <c r="B364">
        <v>3</v>
      </c>
      <c r="C364">
        <v>8</v>
      </c>
      <c r="D364">
        <v>29.1</v>
      </c>
      <c r="E364">
        <v>-80</v>
      </c>
      <c r="F364">
        <v>2.9639879959986701</v>
      </c>
    </row>
    <row r="365" spans="1:6" x14ac:dyDescent="0.25">
      <c r="A365" t="s">
        <v>13</v>
      </c>
      <c r="B365">
        <v>4</v>
      </c>
      <c r="C365">
        <v>8</v>
      </c>
      <c r="D365">
        <v>33.9</v>
      </c>
      <c r="E365">
        <v>-80</v>
      </c>
      <c r="F365">
        <v>3.1857412968524099</v>
      </c>
    </row>
    <row r="366" spans="1:6" x14ac:dyDescent="0.25">
      <c r="A366" t="s">
        <v>13</v>
      </c>
      <c r="B366">
        <v>4</v>
      </c>
      <c r="C366">
        <v>8</v>
      </c>
      <c r="D366">
        <v>34.25</v>
      </c>
      <c r="E366">
        <v>-80</v>
      </c>
      <c r="F366">
        <v>3.2811700589478399</v>
      </c>
    </row>
    <row r="367" spans="1:6" x14ac:dyDescent="0.25">
      <c r="A367" t="s">
        <v>13</v>
      </c>
      <c r="B367">
        <v>4</v>
      </c>
      <c r="C367">
        <v>8</v>
      </c>
      <c r="D367">
        <v>34.6</v>
      </c>
      <c r="E367">
        <v>-80</v>
      </c>
      <c r="F367">
        <v>8.7940162384606904</v>
      </c>
    </row>
    <row r="368" spans="1:6" x14ac:dyDescent="0.25">
      <c r="A368" t="s">
        <v>13</v>
      </c>
      <c r="B368">
        <v>4</v>
      </c>
      <c r="C368">
        <v>8</v>
      </c>
      <c r="D368">
        <v>34.950000000000003</v>
      </c>
      <c r="E368">
        <v>-80</v>
      </c>
      <c r="F368">
        <v>10.2548103659215</v>
      </c>
    </row>
    <row r="369" spans="1:6" x14ac:dyDescent="0.25">
      <c r="A369" t="s">
        <v>13</v>
      </c>
      <c r="B369">
        <v>4</v>
      </c>
      <c r="C369">
        <v>8</v>
      </c>
      <c r="D369">
        <v>35.299999999999997</v>
      </c>
      <c r="E369">
        <v>-80</v>
      </c>
      <c r="F369">
        <v>10.482371260149</v>
      </c>
    </row>
    <row r="370" spans="1:6" x14ac:dyDescent="0.25">
      <c r="A370" t="s">
        <v>13</v>
      </c>
      <c r="B370">
        <v>4</v>
      </c>
      <c r="C370">
        <v>8</v>
      </c>
      <c r="D370">
        <v>35.65</v>
      </c>
      <c r="E370">
        <v>-80</v>
      </c>
      <c r="F370">
        <v>10.5851406962518</v>
      </c>
    </row>
    <row r="371" spans="1:6" x14ac:dyDescent="0.25">
      <c r="A371" t="s">
        <v>13</v>
      </c>
      <c r="B371">
        <v>4</v>
      </c>
      <c r="C371">
        <v>8</v>
      </c>
      <c r="D371">
        <v>36</v>
      </c>
      <c r="E371">
        <v>-80</v>
      </c>
      <c r="F371">
        <v>10.548437326215099</v>
      </c>
    </row>
    <row r="372" spans="1:6" x14ac:dyDescent="0.25">
      <c r="A372" t="s">
        <v>13</v>
      </c>
      <c r="B372">
        <v>4</v>
      </c>
      <c r="C372">
        <v>8</v>
      </c>
      <c r="D372">
        <v>36.35</v>
      </c>
      <c r="E372">
        <v>-80</v>
      </c>
      <c r="F372">
        <v>10.416305194083</v>
      </c>
    </row>
    <row r="373" spans="1:6" x14ac:dyDescent="0.25">
      <c r="A373" t="s">
        <v>13</v>
      </c>
      <c r="B373">
        <v>4</v>
      </c>
      <c r="C373">
        <v>8</v>
      </c>
      <c r="D373">
        <v>36.700000000000003</v>
      </c>
      <c r="E373">
        <v>-80</v>
      </c>
      <c r="F373">
        <v>9.9171393615838106</v>
      </c>
    </row>
    <row r="374" spans="1:6" x14ac:dyDescent="0.25">
      <c r="A374" t="s">
        <v>13</v>
      </c>
      <c r="B374">
        <v>4</v>
      </c>
      <c r="C374">
        <v>8</v>
      </c>
      <c r="D374">
        <v>37.049999999999997</v>
      </c>
      <c r="E374">
        <v>-80</v>
      </c>
      <c r="F374">
        <v>3.45000556111667</v>
      </c>
    </row>
    <row r="375" spans="1:6" x14ac:dyDescent="0.25">
      <c r="A375" t="s">
        <v>13</v>
      </c>
      <c r="B375">
        <v>4</v>
      </c>
      <c r="C375">
        <v>8</v>
      </c>
      <c r="D375">
        <v>37.4</v>
      </c>
      <c r="E375">
        <v>-80</v>
      </c>
      <c r="F375">
        <v>2.7526415304193099</v>
      </c>
    </row>
    <row r="376" spans="1:6" x14ac:dyDescent="0.25">
      <c r="A376" t="s">
        <v>13</v>
      </c>
      <c r="B376">
        <v>4</v>
      </c>
      <c r="C376">
        <v>8</v>
      </c>
      <c r="D376">
        <v>37.75</v>
      </c>
      <c r="E376">
        <v>-80</v>
      </c>
      <c r="F376">
        <v>2.9875430986542102</v>
      </c>
    </row>
    <row r="377" spans="1:6" x14ac:dyDescent="0.25">
      <c r="A377" t="s">
        <v>13</v>
      </c>
      <c r="B377">
        <v>4</v>
      </c>
      <c r="C377">
        <v>8</v>
      </c>
      <c r="D377">
        <v>38.1</v>
      </c>
      <c r="E377">
        <v>-80</v>
      </c>
      <c r="F377">
        <v>3.0536091647202799</v>
      </c>
    </row>
    <row r="378" spans="1:6" x14ac:dyDescent="0.25">
      <c r="A378" t="s">
        <v>13</v>
      </c>
      <c r="B378">
        <v>5</v>
      </c>
      <c r="C378">
        <v>8</v>
      </c>
      <c r="D378">
        <v>42.9</v>
      </c>
      <c r="E378">
        <v>-80</v>
      </c>
      <c r="F378">
        <v>3.1580573951434898</v>
      </c>
    </row>
    <row r="379" spans="1:6" x14ac:dyDescent="0.25">
      <c r="A379" t="s">
        <v>13</v>
      </c>
      <c r="B379">
        <v>5</v>
      </c>
      <c r="C379">
        <v>8</v>
      </c>
      <c r="D379">
        <v>43.25</v>
      </c>
      <c r="E379">
        <v>-80</v>
      </c>
      <c r="F379">
        <v>3.18719646799117</v>
      </c>
    </row>
    <row r="380" spans="1:6" x14ac:dyDescent="0.25">
      <c r="A380" t="s">
        <v>13</v>
      </c>
      <c r="B380">
        <v>5</v>
      </c>
      <c r="C380">
        <v>8</v>
      </c>
      <c r="D380">
        <v>43.6</v>
      </c>
      <c r="E380">
        <v>-80</v>
      </c>
      <c r="F380">
        <v>9.2116997792494502</v>
      </c>
    </row>
    <row r="381" spans="1:6" x14ac:dyDescent="0.25">
      <c r="A381" t="s">
        <v>13</v>
      </c>
      <c r="B381">
        <v>5</v>
      </c>
      <c r="C381">
        <v>8</v>
      </c>
      <c r="D381">
        <v>43.95</v>
      </c>
      <c r="E381">
        <v>-80</v>
      </c>
      <c r="F381">
        <v>10.202428256070601</v>
      </c>
    </row>
    <row r="382" spans="1:6" x14ac:dyDescent="0.25">
      <c r="A382" t="s">
        <v>13</v>
      </c>
      <c r="B382">
        <v>5</v>
      </c>
      <c r="C382">
        <v>8</v>
      </c>
      <c r="D382">
        <v>44.3</v>
      </c>
      <c r="E382">
        <v>-80</v>
      </c>
      <c r="F382">
        <v>10.5011037527594</v>
      </c>
    </row>
    <row r="383" spans="1:6" x14ac:dyDescent="0.25">
      <c r="A383" t="s">
        <v>13</v>
      </c>
      <c r="B383">
        <v>5</v>
      </c>
      <c r="C383">
        <v>8</v>
      </c>
      <c r="D383">
        <v>44.65</v>
      </c>
      <c r="E383">
        <v>-80</v>
      </c>
      <c r="F383">
        <v>10.5302428256071</v>
      </c>
    </row>
    <row r="384" spans="1:6" x14ac:dyDescent="0.25">
      <c r="A384" t="s">
        <v>13</v>
      </c>
      <c r="B384">
        <v>5</v>
      </c>
      <c r="C384">
        <v>8</v>
      </c>
      <c r="D384">
        <v>45</v>
      </c>
      <c r="E384">
        <v>-80</v>
      </c>
      <c r="F384">
        <v>10.4646799116998</v>
      </c>
    </row>
    <row r="385" spans="1:6" x14ac:dyDescent="0.25">
      <c r="A385" t="s">
        <v>13</v>
      </c>
      <c r="B385">
        <v>5</v>
      </c>
      <c r="C385">
        <v>8</v>
      </c>
      <c r="D385">
        <v>45.35</v>
      </c>
      <c r="E385">
        <v>-80</v>
      </c>
      <c r="F385">
        <v>10.173289183223</v>
      </c>
    </row>
    <row r="386" spans="1:6" x14ac:dyDescent="0.25">
      <c r="A386" t="s">
        <v>13</v>
      </c>
      <c r="B386">
        <v>5</v>
      </c>
      <c r="C386">
        <v>8</v>
      </c>
      <c r="D386">
        <v>45.7</v>
      </c>
      <c r="E386">
        <v>-80</v>
      </c>
      <c r="F386">
        <v>9.1825607064017607</v>
      </c>
    </row>
    <row r="387" spans="1:6" x14ac:dyDescent="0.25">
      <c r="A387" t="s">
        <v>13</v>
      </c>
      <c r="B387">
        <v>5</v>
      </c>
      <c r="C387">
        <v>8</v>
      </c>
      <c r="D387">
        <v>46.05</v>
      </c>
      <c r="E387">
        <v>-80</v>
      </c>
      <c r="F387">
        <v>5.69315673289183</v>
      </c>
    </row>
    <row r="388" spans="1:6" x14ac:dyDescent="0.25">
      <c r="A388" t="s">
        <v>13</v>
      </c>
      <c r="B388">
        <v>5</v>
      </c>
      <c r="C388">
        <v>8</v>
      </c>
      <c r="D388">
        <v>46.4</v>
      </c>
      <c r="E388">
        <v>-80</v>
      </c>
      <c r="F388">
        <v>2.8302428256070602</v>
      </c>
    </row>
    <row r="389" spans="1:6" x14ac:dyDescent="0.25">
      <c r="A389" t="s">
        <v>13</v>
      </c>
      <c r="B389">
        <v>5</v>
      </c>
      <c r="C389">
        <v>8</v>
      </c>
      <c r="D389">
        <v>46.75</v>
      </c>
      <c r="E389">
        <v>-80</v>
      </c>
      <c r="F389">
        <v>3.0269315673289201</v>
      </c>
    </row>
    <row r="390" spans="1:6" x14ac:dyDescent="0.25">
      <c r="A390" t="s">
        <v>13</v>
      </c>
      <c r="B390">
        <v>5</v>
      </c>
      <c r="C390">
        <v>8</v>
      </c>
      <c r="D390">
        <v>47.1</v>
      </c>
      <c r="E390">
        <v>-80</v>
      </c>
      <c r="F390">
        <v>3.1216335540838802</v>
      </c>
    </row>
    <row r="391" spans="1:6" x14ac:dyDescent="0.25">
      <c r="A391" t="s">
        <v>13</v>
      </c>
      <c r="B391">
        <v>6</v>
      </c>
      <c r="C391">
        <v>8</v>
      </c>
      <c r="D391">
        <v>51.9</v>
      </c>
      <c r="E391">
        <v>-80</v>
      </c>
      <c r="F391">
        <v>7.9780146568954002</v>
      </c>
    </row>
    <row r="392" spans="1:6" x14ac:dyDescent="0.25">
      <c r="A392" t="s">
        <v>13</v>
      </c>
      <c r="B392">
        <v>6</v>
      </c>
      <c r="C392">
        <v>8</v>
      </c>
      <c r="D392">
        <v>52.25</v>
      </c>
      <c r="E392">
        <v>-80</v>
      </c>
      <c r="F392">
        <v>9.6049300466355803</v>
      </c>
    </row>
    <row r="393" spans="1:6" x14ac:dyDescent="0.25">
      <c r="A393" t="s">
        <v>13</v>
      </c>
      <c r="B393">
        <v>6</v>
      </c>
      <c r="C393">
        <v>8</v>
      </c>
      <c r="D393">
        <v>52.6</v>
      </c>
      <c r="E393">
        <v>-80</v>
      </c>
      <c r="F393">
        <v>10.4403730846103</v>
      </c>
    </row>
    <row r="394" spans="1:6" x14ac:dyDescent="0.25">
      <c r="A394" t="s">
        <v>13</v>
      </c>
      <c r="B394">
        <v>6</v>
      </c>
      <c r="C394">
        <v>8</v>
      </c>
      <c r="D394">
        <v>52.95</v>
      </c>
      <c r="E394">
        <v>-80</v>
      </c>
      <c r="F394">
        <v>10.733510992671601</v>
      </c>
    </row>
    <row r="395" spans="1:6" x14ac:dyDescent="0.25">
      <c r="A395" t="s">
        <v>13</v>
      </c>
      <c r="B395">
        <v>6</v>
      </c>
      <c r="C395">
        <v>8</v>
      </c>
      <c r="D395">
        <v>53.3</v>
      </c>
      <c r="E395">
        <v>-80</v>
      </c>
      <c r="F395">
        <v>10.836109260493</v>
      </c>
    </row>
    <row r="396" spans="1:6" x14ac:dyDescent="0.25">
      <c r="A396" t="s">
        <v>13</v>
      </c>
      <c r="B396">
        <v>6</v>
      </c>
      <c r="C396">
        <v>8</v>
      </c>
      <c r="D396">
        <v>53.65</v>
      </c>
      <c r="E396">
        <v>-80</v>
      </c>
      <c r="F396">
        <v>10.770153231179201</v>
      </c>
    </row>
    <row r="397" spans="1:6" x14ac:dyDescent="0.25">
      <c r="A397" t="s">
        <v>13</v>
      </c>
      <c r="B397">
        <v>6</v>
      </c>
      <c r="C397">
        <v>8</v>
      </c>
      <c r="D397">
        <v>54</v>
      </c>
      <c r="E397">
        <v>-80</v>
      </c>
      <c r="F397">
        <v>10.6382411725516</v>
      </c>
    </row>
    <row r="398" spans="1:6" x14ac:dyDescent="0.25">
      <c r="A398" t="s">
        <v>13</v>
      </c>
      <c r="B398">
        <v>6</v>
      </c>
      <c r="C398">
        <v>8</v>
      </c>
      <c r="D398">
        <v>54.35</v>
      </c>
      <c r="E398">
        <v>-80</v>
      </c>
      <c r="F398">
        <v>10.4403730846103</v>
      </c>
    </row>
    <row r="399" spans="1:6" x14ac:dyDescent="0.25">
      <c r="A399" t="s">
        <v>13</v>
      </c>
      <c r="B399">
        <v>6</v>
      </c>
      <c r="C399">
        <v>8</v>
      </c>
      <c r="D399">
        <v>54.7</v>
      </c>
      <c r="E399">
        <v>-80</v>
      </c>
      <c r="F399">
        <v>8.5129913391072591</v>
      </c>
    </row>
    <row r="400" spans="1:6" x14ac:dyDescent="0.25">
      <c r="A400" t="s">
        <v>13</v>
      </c>
      <c r="B400">
        <v>6</v>
      </c>
      <c r="C400">
        <v>8</v>
      </c>
      <c r="D400">
        <v>55.05</v>
      </c>
      <c r="E400">
        <v>-80</v>
      </c>
      <c r="F400">
        <v>7.80946035976016</v>
      </c>
    </row>
    <row r="401" spans="1:6" x14ac:dyDescent="0.25">
      <c r="A401" t="s">
        <v>13</v>
      </c>
      <c r="B401">
        <v>6</v>
      </c>
      <c r="C401">
        <v>8</v>
      </c>
      <c r="D401">
        <v>55.4</v>
      </c>
      <c r="E401">
        <v>-80</v>
      </c>
      <c r="F401">
        <v>3.19253830779481</v>
      </c>
    </row>
    <row r="402" spans="1:6" x14ac:dyDescent="0.25">
      <c r="A402" t="s">
        <v>13</v>
      </c>
      <c r="B402">
        <v>6</v>
      </c>
      <c r="C402">
        <v>8</v>
      </c>
      <c r="D402">
        <v>55.75</v>
      </c>
      <c r="E402">
        <v>-80</v>
      </c>
      <c r="F402">
        <v>3.19253830779481</v>
      </c>
    </row>
    <row r="403" spans="1:6" x14ac:dyDescent="0.25">
      <c r="A403" t="s">
        <v>13</v>
      </c>
      <c r="B403">
        <v>6</v>
      </c>
      <c r="C403">
        <v>8</v>
      </c>
      <c r="D403">
        <v>56.1</v>
      </c>
      <c r="E403">
        <v>-80</v>
      </c>
      <c r="F403">
        <v>3.19253830779481</v>
      </c>
    </row>
    <row r="404" spans="1:6" x14ac:dyDescent="0.25">
      <c r="A404" t="s">
        <v>13</v>
      </c>
      <c r="B404">
        <v>7</v>
      </c>
      <c r="C404">
        <v>8</v>
      </c>
      <c r="D404">
        <v>60.9</v>
      </c>
      <c r="E404">
        <v>-80</v>
      </c>
      <c r="F404">
        <v>9.5640854472630092</v>
      </c>
    </row>
    <row r="405" spans="1:6" x14ac:dyDescent="0.25">
      <c r="A405" t="s">
        <v>13</v>
      </c>
      <c r="B405">
        <v>7</v>
      </c>
      <c r="C405">
        <v>8</v>
      </c>
      <c r="D405">
        <v>61.25</v>
      </c>
      <c r="E405">
        <v>-80</v>
      </c>
      <c r="F405">
        <v>10.173564753003999</v>
      </c>
    </row>
    <row r="406" spans="1:6" x14ac:dyDescent="0.25">
      <c r="A406" t="s">
        <v>13</v>
      </c>
      <c r="B406">
        <v>7</v>
      </c>
      <c r="C406">
        <v>8</v>
      </c>
      <c r="D406">
        <v>61.6</v>
      </c>
      <c r="E406">
        <v>-80</v>
      </c>
      <c r="F406">
        <v>10.577436582109501</v>
      </c>
    </row>
    <row r="407" spans="1:6" x14ac:dyDescent="0.25">
      <c r="A407" t="s">
        <v>13</v>
      </c>
      <c r="B407">
        <v>7</v>
      </c>
      <c r="C407">
        <v>8</v>
      </c>
      <c r="D407">
        <v>61.95</v>
      </c>
      <c r="E407">
        <v>-80</v>
      </c>
      <c r="F407">
        <v>10.746328437917199</v>
      </c>
    </row>
    <row r="408" spans="1:6" x14ac:dyDescent="0.25">
      <c r="A408" t="s">
        <v>13</v>
      </c>
      <c r="B408">
        <v>7</v>
      </c>
      <c r="C408">
        <v>8</v>
      </c>
      <c r="D408">
        <v>62.3</v>
      </c>
      <c r="E408">
        <v>-80</v>
      </c>
      <c r="F408">
        <v>10.8124165554072</v>
      </c>
    </row>
    <row r="409" spans="1:6" x14ac:dyDescent="0.25">
      <c r="A409" t="s">
        <v>13</v>
      </c>
      <c r="B409">
        <v>7</v>
      </c>
      <c r="C409">
        <v>8</v>
      </c>
      <c r="D409">
        <v>62.65</v>
      </c>
      <c r="E409">
        <v>-80</v>
      </c>
      <c r="F409">
        <v>10.7096128170894</v>
      </c>
    </row>
    <row r="410" spans="1:6" x14ac:dyDescent="0.25">
      <c r="A410" t="s">
        <v>13</v>
      </c>
      <c r="B410">
        <v>7</v>
      </c>
      <c r="C410">
        <v>8</v>
      </c>
      <c r="D410">
        <v>63</v>
      </c>
      <c r="E410">
        <v>-80</v>
      </c>
      <c r="F410">
        <v>10.6141522029372</v>
      </c>
    </row>
    <row r="411" spans="1:6" x14ac:dyDescent="0.25">
      <c r="A411" t="s">
        <v>13</v>
      </c>
      <c r="B411">
        <v>7</v>
      </c>
      <c r="C411">
        <v>8</v>
      </c>
      <c r="D411">
        <v>63.35</v>
      </c>
      <c r="E411">
        <v>-80</v>
      </c>
      <c r="F411">
        <v>9.9679572763684892</v>
      </c>
    </row>
    <row r="412" spans="1:6" x14ac:dyDescent="0.25">
      <c r="A412" t="s">
        <v>13</v>
      </c>
      <c r="B412">
        <v>7</v>
      </c>
      <c r="C412">
        <v>8</v>
      </c>
      <c r="D412">
        <v>63.7</v>
      </c>
      <c r="E412">
        <v>-80</v>
      </c>
      <c r="F412">
        <v>9.0941255006675501</v>
      </c>
    </row>
    <row r="413" spans="1:6" x14ac:dyDescent="0.25">
      <c r="A413" t="s">
        <v>13</v>
      </c>
      <c r="B413">
        <v>7</v>
      </c>
      <c r="C413">
        <v>8</v>
      </c>
      <c r="D413">
        <v>64.05</v>
      </c>
      <c r="E413">
        <v>-80</v>
      </c>
      <c r="F413">
        <v>6.3257676902536701</v>
      </c>
    </row>
    <row r="414" spans="1:6" x14ac:dyDescent="0.25">
      <c r="A414" t="s">
        <v>13</v>
      </c>
      <c r="B414">
        <v>7</v>
      </c>
      <c r="C414">
        <v>8</v>
      </c>
      <c r="D414">
        <v>64.400000000000006</v>
      </c>
      <c r="E414">
        <v>-80</v>
      </c>
      <c r="F414">
        <v>6.4285714285714199</v>
      </c>
    </row>
    <row r="415" spans="1:6" x14ac:dyDescent="0.25">
      <c r="A415" t="s">
        <v>13</v>
      </c>
      <c r="B415">
        <v>7</v>
      </c>
      <c r="C415">
        <v>8</v>
      </c>
      <c r="D415">
        <v>64.75</v>
      </c>
      <c r="E415">
        <v>-80</v>
      </c>
      <c r="F415">
        <v>3.3591455273698201</v>
      </c>
    </row>
    <row r="416" spans="1:6" x14ac:dyDescent="0.25">
      <c r="A416" t="s">
        <v>13</v>
      </c>
      <c r="B416">
        <v>7</v>
      </c>
      <c r="C416">
        <v>8</v>
      </c>
      <c r="D416">
        <v>65.099999999999994</v>
      </c>
      <c r="E416">
        <v>-80</v>
      </c>
      <c r="F416">
        <v>3.2563417890520698</v>
      </c>
    </row>
    <row r="417" spans="1:6" x14ac:dyDescent="0.25">
      <c r="A417" t="s">
        <v>13</v>
      </c>
      <c r="B417">
        <v>0</v>
      </c>
      <c r="C417">
        <v>7</v>
      </c>
      <c r="D417">
        <v>-2.1</v>
      </c>
      <c r="E417">
        <v>-71</v>
      </c>
      <c r="F417">
        <v>7.4416305675885797</v>
      </c>
    </row>
    <row r="418" spans="1:6" x14ac:dyDescent="0.25">
      <c r="A418" t="s">
        <v>13</v>
      </c>
      <c r="B418">
        <v>0</v>
      </c>
      <c r="C418">
        <v>7</v>
      </c>
      <c r="D418">
        <v>-1.75</v>
      </c>
      <c r="E418">
        <v>-71</v>
      </c>
      <c r="F418">
        <v>8.7611907142063803</v>
      </c>
    </row>
    <row r="419" spans="1:6" x14ac:dyDescent="0.25">
      <c r="A419" t="s">
        <v>13</v>
      </c>
      <c r="B419">
        <v>0</v>
      </c>
      <c r="C419">
        <v>7</v>
      </c>
      <c r="D419">
        <v>-1.4</v>
      </c>
      <c r="E419">
        <v>-71</v>
      </c>
      <c r="F419">
        <v>9.4356325669221395</v>
      </c>
    </row>
    <row r="420" spans="1:6" x14ac:dyDescent="0.25">
      <c r="A420" t="s">
        <v>13</v>
      </c>
      <c r="B420">
        <v>0</v>
      </c>
      <c r="C420">
        <v>7</v>
      </c>
      <c r="D420">
        <v>-1.05</v>
      </c>
      <c r="E420">
        <v>-71</v>
      </c>
      <c r="F420">
        <v>9.9414639564589606</v>
      </c>
    </row>
    <row r="421" spans="1:6" x14ac:dyDescent="0.25">
      <c r="A421" t="s">
        <v>13</v>
      </c>
      <c r="B421">
        <v>0</v>
      </c>
      <c r="C421">
        <v>7</v>
      </c>
      <c r="D421">
        <v>-0.7</v>
      </c>
      <c r="E421">
        <v>-71</v>
      </c>
      <c r="F421">
        <v>10.3080084416306</v>
      </c>
    </row>
    <row r="422" spans="1:6" x14ac:dyDescent="0.25">
      <c r="A422" t="s">
        <v>13</v>
      </c>
      <c r="B422">
        <v>0</v>
      </c>
      <c r="C422">
        <v>7</v>
      </c>
      <c r="D422">
        <v>-0.35</v>
      </c>
      <c r="E422">
        <v>-71</v>
      </c>
      <c r="F422">
        <v>10.4766189048095</v>
      </c>
    </row>
    <row r="423" spans="1:6" x14ac:dyDescent="0.25">
      <c r="A423" t="s">
        <v>13</v>
      </c>
      <c r="B423">
        <v>0</v>
      </c>
      <c r="C423">
        <v>7</v>
      </c>
      <c r="D423" s="1">
        <v>-4.4408920985006301E-16</v>
      </c>
      <c r="E423">
        <v>-71</v>
      </c>
      <c r="F423">
        <v>10.5425969121404</v>
      </c>
    </row>
    <row r="424" spans="1:6" x14ac:dyDescent="0.25">
      <c r="A424" t="s">
        <v>13</v>
      </c>
      <c r="B424">
        <v>0</v>
      </c>
      <c r="C424">
        <v>7</v>
      </c>
      <c r="D424">
        <v>0.35</v>
      </c>
      <c r="E424">
        <v>-71</v>
      </c>
      <c r="F424">
        <v>10.513273353326699</v>
      </c>
    </row>
    <row r="425" spans="1:6" x14ac:dyDescent="0.25">
      <c r="A425" t="s">
        <v>13</v>
      </c>
      <c r="B425">
        <v>0</v>
      </c>
      <c r="C425">
        <v>7</v>
      </c>
      <c r="D425">
        <v>0.7</v>
      </c>
      <c r="E425">
        <v>-71</v>
      </c>
      <c r="F425">
        <v>10.410640897478601</v>
      </c>
    </row>
    <row r="426" spans="1:6" x14ac:dyDescent="0.25">
      <c r="A426" t="s">
        <v>13</v>
      </c>
      <c r="B426">
        <v>0</v>
      </c>
      <c r="C426">
        <v>7</v>
      </c>
      <c r="D426">
        <v>1.05</v>
      </c>
      <c r="E426">
        <v>-71</v>
      </c>
      <c r="F426">
        <v>10.205375985782499</v>
      </c>
    </row>
    <row r="427" spans="1:6" x14ac:dyDescent="0.25">
      <c r="A427" t="s">
        <v>13</v>
      </c>
      <c r="B427">
        <v>0</v>
      </c>
      <c r="C427">
        <v>7</v>
      </c>
      <c r="D427">
        <v>1.4</v>
      </c>
      <c r="E427">
        <v>-71</v>
      </c>
      <c r="F427">
        <v>9.2670221037431997</v>
      </c>
    </row>
    <row r="428" spans="1:6" x14ac:dyDescent="0.25">
      <c r="A428" t="s">
        <v>13</v>
      </c>
      <c r="B428">
        <v>0</v>
      </c>
      <c r="C428">
        <v>7</v>
      </c>
      <c r="D428">
        <v>1.75</v>
      </c>
      <c r="E428">
        <v>-71</v>
      </c>
      <c r="F428">
        <v>7.5442630234366304</v>
      </c>
    </row>
    <row r="429" spans="1:6" x14ac:dyDescent="0.25">
      <c r="A429" t="s">
        <v>13</v>
      </c>
      <c r="B429">
        <v>0</v>
      </c>
      <c r="C429">
        <v>7</v>
      </c>
      <c r="D429">
        <v>2.1</v>
      </c>
      <c r="E429">
        <v>-71</v>
      </c>
      <c r="F429">
        <v>3.2996778851493902</v>
      </c>
    </row>
    <row r="430" spans="1:6" x14ac:dyDescent="0.25">
      <c r="A430" t="s">
        <v>13</v>
      </c>
      <c r="B430">
        <v>1</v>
      </c>
      <c r="C430">
        <v>7</v>
      </c>
      <c r="D430">
        <v>6.9</v>
      </c>
      <c r="E430">
        <v>-71</v>
      </c>
      <c r="F430">
        <v>3.06786826880285</v>
      </c>
    </row>
    <row r="431" spans="1:6" x14ac:dyDescent="0.25">
      <c r="A431" t="s">
        <v>13</v>
      </c>
      <c r="B431">
        <v>1</v>
      </c>
      <c r="C431">
        <v>7</v>
      </c>
      <c r="D431">
        <v>7.25</v>
      </c>
      <c r="E431">
        <v>-71</v>
      </c>
      <c r="F431">
        <v>3.2661326212728099</v>
      </c>
    </row>
    <row r="432" spans="1:6" x14ac:dyDescent="0.25">
      <c r="A432" t="s">
        <v>13</v>
      </c>
      <c r="B432">
        <v>1</v>
      </c>
      <c r="C432">
        <v>7</v>
      </c>
      <c r="D432">
        <v>7.6</v>
      </c>
      <c r="E432">
        <v>-71</v>
      </c>
      <c r="F432">
        <v>-14.137071651090301</v>
      </c>
    </row>
    <row r="433" spans="1:6" x14ac:dyDescent="0.25">
      <c r="A433" t="s">
        <v>13</v>
      </c>
      <c r="B433">
        <v>1</v>
      </c>
      <c r="C433">
        <v>7</v>
      </c>
      <c r="D433">
        <v>7.95</v>
      </c>
      <c r="E433">
        <v>-71</v>
      </c>
      <c r="F433">
        <v>9.5371606586559796</v>
      </c>
    </row>
    <row r="434" spans="1:6" x14ac:dyDescent="0.25">
      <c r="A434" t="s">
        <v>13</v>
      </c>
      <c r="B434">
        <v>1</v>
      </c>
      <c r="C434">
        <v>7</v>
      </c>
      <c r="D434">
        <v>8.3000000000000007</v>
      </c>
      <c r="E434">
        <v>-71</v>
      </c>
      <c r="F434">
        <v>9.9997774810858893</v>
      </c>
    </row>
    <row r="435" spans="1:6" x14ac:dyDescent="0.25">
      <c r="A435" t="s">
        <v>13</v>
      </c>
      <c r="B435">
        <v>1</v>
      </c>
      <c r="C435">
        <v>7</v>
      </c>
      <c r="D435">
        <v>8.65</v>
      </c>
      <c r="E435">
        <v>-71</v>
      </c>
      <c r="F435">
        <v>10.2053849577214</v>
      </c>
    </row>
    <row r="436" spans="1:6" x14ac:dyDescent="0.25">
      <c r="A436" t="s">
        <v>13</v>
      </c>
      <c r="B436">
        <v>1</v>
      </c>
      <c r="C436">
        <v>7</v>
      </c>
      <c r="D436">
        <v>9</v>
      </c>
      <c r="E436">
        <v>-71</v>
      </c>
      <c r="F436">
        <v>10.168669336893601</v>
      </c>
    </row>
    <row r="437" spans="1:6" x14ac:dyDescent="0.25">
      <c r="A437" t="s">
        <v>13</v>
      </c>
      <c r="B437">
        <v>1</v>
      </c>
      <c r="C437">
        <v>7</v>
      </c>
      <c r="D437">
        <v>9.35</v>
      </c>
      <c r="E437">
        <v>-71</v>
      </c>
      <c r="F437">
        <v>9.8676012461059202</v>
      </c>
    </row>
    <row r="438" spans="1:6" x14ac:dyDescent="0.25">
      <c r="A438" t="s">
        <v>13</v>
      </c>
      <c r="B438">
        <v>1</v>
      </c>
      <c r="C438">
        <v>7</v>
      </c>
      <c r="D438">
        <v>9.6999999999999993</v>
      </c>
      <c r="E438">
        <v>-71</v>
      </c>
      <c r="F438">
        <v>9.5004450378282108</v>
      </c>
    </row>
    <row r="439" spans="1:6" x14ac:dyDescent="0.25">
      <c r="A439" t="s">
        <v>13</v>
      </c>
      <c r="B439">
        <v>1</v>
      </c>
      <c r="C439">
        <v>7</v>
      </c>
      <c r="D439">
        <v>10.050000000000001</v>
      </c>
      <c r="E439">
        <v>-71</v>
      </c>
      <c r="F439">
        <v>8.8322207387627891</v>
      </c>
    </row>
    <row r="440" spans="1:6" x14ac:dyDescent="0.25">
      <c r="A440" t="s">
        <v>13</v>
      </c>
      <c r="B440">
        <v>1</v>
      </c>
      <c r="C440">
        <v>7</v>
      </c>
      <c r="D440">
        <v>10.4</v>
      </c>
      <c r="E440">
        <v>-71</v>
      </c>
      <c r="F440">
        <v>6.2988429016466396</v>
      </c>
    </row>
    <row r="441" spans="1:6" x14ac:dyDescent="0.25">
      <c r="A441" t="s">
        <v>13</v>
      </c>
      <c r="B441">
        <v>1</v>
      </c>
      <c r="C441">
        <v>7</v>
      </c>
      <c r="D441">
        <v>10.75</v>
      </c>
      <c r="E441">
        <v>-71</v>
      </c>
      <c r="F441">
        <v>3.4717400979083202</v>
      </c>
    </row>
    <row r="442" spans="1:6" x14ac:dyDescent="0.25">
      <c r="A442" t="s">
        <v>13</v>
      </c>
      <c r="B442">
        <v>1</v>
      </c>
      <c r="C442">
        <v>7</v>
      </c>
      <c r="D442">
        <v>11.1</v>
      </c>
      <c r="E442">
        <v>-71</v>
      </c>
      <c r="F442">
        <v>2.96506453048509</v>
      </c>
    </row>
    <row r="443" spans="1:6" x14ac:dyDescent="0.25">
      <c r="A443" t="s">
        <v>13</v>
      </c>
      <c r="B443">
        <v>2</v>
      </c>
      <c r="C443">
        <v>7</v>
      </c>
      <c r="D443">
        <v>15.9</v>
      </c>
      <c r="E443">
        <v>-71</v>
      </c>
      <c r="F443">
        <v>3.1184444444444401</v>
      </c>
    </row>
    <row r="444" spans="1:6" x14ac:dyDescent="0.25">
      <c r="A444" t="s">
        <v>13</v>
      </c>
      <c r="B444">
        <v>2</v>
      </c>
      <c r="C444">
        <v>7</v>
      </c>
      <c r="D444">
        <v>16.25</v>
      </c>
      <c r="E444">
        <v>-71</v>
      </c>
      <c r="F444">
        <v>3.0524444444444399</v>
      </c>
    </row>
    <row r="445" spans="1:6" x14ac:dyDescent="0.25">
      <c r="A445" t="s">
        <v>13</v>
      </c>
      <c r="B445">
        <v>2</v>
      </c>
      <c r="C445">
        <v>7</v>
      </c>
      <c r="D445">
        <v>16.600000000000001</v>
      </c>
      <c r="E445">
        <v>-71</v>
      </c>
      <c r="F445">
        <v>3.0524444444444399</v>
      </c>
    </row>
    <row r="446" spans="1:6" x14ac:dyDescent="0.25">
      <c r="A446" t="s">
        <v>13</v>
      </c>
      <c r="B446">
        <v>2</v>
      </c>
      <c r="C446">
        <v>7</v>
      </c>
      <c r="D446">
        <v>16.95</v>
      </c>
      <c r="E446">
        <v>-71</v>
      </c>
      <c r="F446">
        <v>9.0877777777777702</v>
      </c>
    </row>
    <row r="447" spans="1:6" x14ac:dyDescent="0.25">
      <c r="A447" t="s">
        <v>13</v>
      </c>
      <c r="B447">
        <v>2</v>
      </c>
      <c r="C447">
        <v>7</v>
      </c>
      <c r="D447">
        <v>17.3</v>
      </c>
      <c r="E447">
        <v>-71</v>
      </c>
      <c r="F447">
        <v>10.2171111111111</v>
      </c>
    </row>
    <row r="448" spans="1:6" x14ac:dyDescent="0.25">
      <c r="A448" t="s">
        <v>13</v>
      </c>
      <c r="B448">
        <v>2</v>
      </c>
      <c r="C448">
        <v>7</v>
      </c>
      <c r="D448">
        <v>17.649999999999999</v>
      </c>
      <c r="E448">
        <v>-71</v>
      </c>
      <c r="F448">
        <v>10.3857777777778</v>
      </c>
    </row>
    <row r="449" spans="1:6" x14ac:dyDescent="0.25">
      <c r="A449" t="s">
        <v>13</v>
      </c>
      <c r="B449">
        <v>2</v>
      </c>
      <c r="C449">
        <v>7</v>
      </c>
      <c r="D449">
        <v>18</v>
      </c>
      <c r="E449">
        <v>-71</v>
      </c>
      <c r="F449">
        <v>10.3857777777778</v>
      </c>
    </row>
    <row r="450" spans="1:6" x14ac:dyDescent="0.25">
      <c r="A450" t="s">
        <v>13</v>
      </c>
      <c r="B450">
        <v>2</v>
      </c>
      <c r="C450">
        <v>7</v>
      </c>
      <c r="D450">
        <v>18.350000000000001</v>
      </c>
      <c r="E450">
        <v>-71</v>
      </c>
      <c r="F450">
        <v>10.283111111111101</v>
      </c>
    </row>
    <row r="451" spans="1:6" x14ac:dyDescent="0.25">
      <c r="A451" t="s">
        <v>13</v>
      </c>
      <c r="B451">
        <v>2</v>
      </c>
      <c r="C451">
        <v>7</v>
      </c>
      <c r="D451">
        <v>18.7</v>
      </c>
      <c r="E451">
        <v>-71</v>
      </c>
      <c r="F451">
        <v>10.0557777777778</v>
      </c>
    </row>
    <row r="452" spans="1:6" x14ac:dyDescent="0.25">
      <c r="A452" t="s">
        <v>13</v>
      </c>
      <c r="B452">
        <v>2</v>
      </c>
      <c r="C452">
        <v>7</v>
      </c>
      <c r="D452">
        <v>19.05</v>
      </c>
      <c r="E452">
        <v>-71</v>
      </c>
      <c r="F452">
        <v>8.7577777777777701</v>
      </c>
    </row>
    <row r="453" spans="1:6" x14ac:dyDescent="0.25">
      <c r="A453" t="s">
        <v>13</v>
      </c>
      <c r="B453">
        <v>2</v>
      </c>
      <c r="C453">
        <v>7</v>
      </c>
      <c r="D453">
        <v>19.399999999999999</v>
      </c>
      <c r="E453">
        <v>-71</v>
      </c>
      <c r="F453">
        <v>2.9204444444444402</v>
      </c>
    </row>
    <row r="454" spans="1:6" x14ac:dyDescent="0.25">
      <c r="A454" t="s">
        <v>13</v>
      </c>
      <c r="B454">
        <v>2</v>
      </c>
      <c r="C454">
        <v>7</v>
      </c>
      <c r="D454">
        <v>19.75</v>
      </c>
      <c r="E454">
        <v>-71</v>
      </c>
      <c r="F454">
        <v>2.6197777777777702</v>
      </c>
    </row>
    <row r="455" spans="1:6" x14ac:dyDescent="0.25">
      <c r="A455" t="s">
        <v>13</v>
      </c>
      <c r="B455">
        <v>2</v>
      </c>
      <c r="C455">
        <v>7</v>
      </c>
      <c r="D455">
        <v>20.100000000000001</v>
      </c>
      <c r="E455">
        <v>-71</v>
      </c>
      <c r="F455">
        <v>2.9497777777777698</v>
      </c>
    </row>
    <row r="456" spans="1:6" x14ac:dyDescent="0.25">
      <c r="A456" t="s">
        <v>13</v>
      </c>
      <c r="B456">
        <v>3</v>
      </c>
      <c r="C456">
        <v>7</v>
      </c>
      <c r="D456">
        <v>24.9</v>
      </c>
      <c r="E456">
        <v>-71</v>
      </c>
      <c r="F456">
        <v>3.10336778926309</v>
      </c>
    </row>
    <row r="457" spans="1:6" x14ac:dyDescent="0.25">
      <c r="A457" t="s">
        <v>13</v>
      </c>
      <c r="B457">
        <v>3</v>
      </c>
      <c r="C457">
        <v>7</v>
      </c>
      <c r="D457">
        <v>25.25</v>
      </c>
      <c r="E457">
        <v>-71</v>
      </c>
      <c r="F457">
        <v>3.06668889629877</v>
      </c>
    </row>
    <row r="458" spans="1:6" x14ac:dyDescent="0.25">
      <c r="A458" t="s">
        <v>13</v>
      </c>
      <c r="B458">
        <v>3</v>
      </c>
      <c r="C458">
        <v>7</v>
      </c>
      <c r="D458">
        <v>25.6</v>
      </c>
      <c r="E458">
        <v>-71</v>
      </c>
      <c r="F458">
        <v>3.23541180393465</v>
      </c>
    </row>
    <row r="459" spans="1:6" x14ac:dyDescent="0.25">
      <c r="A459" t="s">
        <v>13</v>
      </c>
      <c r="B459">
        <v>3</v>
      </c>
      <c r="C459">
        <v>7</v>
      </c>
      <c r="D459">
        <v>25.95</v>
      </c>
      <c r="E459">
        <v>-71</v>
      </c>
      <c r="F459">
        <v>7.3214404801600601</v>
      </c>
    </row>
    <row r="460" spans="1:6" x14ac:dyDescent="0.25">
      <c r="A460" t="s">
        <v>13</v>
      </c>
      <c r="B460">
        <v>3</v>
      </c>
      <c r="C460">
        <v>7</v>
      </c>
      <c r="D460">
        <v>26.3</v>
      </c>
      <c r="E460">
        <v>-71</v>
      </c>
      <c r="F460">
        <v>10.446482160720199</v>
      </c>
    </row>
    <row r="461" spans="1:6" x14ac:dyDescent="0.25">
      <c r="A461" t="s">
        <v>13</v>
      </c>
      <c r="B461">
        <v>3</v>
      </c>
      <c r="C461">
        <v>7</v>
      </c>
      <c r="D461">
        <v>26.65</v>
      </c>
      <c r="E461">
        <v>-71</v>
      </c>
      <c r="F461">
        <v>10.475825275091699</v>
      </c>
    </row>
    <row r="462" spans="1:6" x14ac:dyDescent="0.25">
      <c r="A462" t="s">
        <v>13</v>
      </c>
      <c r="B462">
        <v>3</v>
      </c>
      <c r="C462">
        <v>7</v>
      </c>
      <c r="D462">
        <v>27</v>
      </c>
      <c r="E462">
        <v>-71</v>
      </c>
      <c r="F462">
        <v>10.446482160720199</v>
      </c>
    </row>
    <row r="463" spans="1:6" x14ac:dyDescent="0.25">
      <c r="A463" t="s">
        <v>13</v>
      </c>
      <c r="B463">
        <v>3</v>
      </c>
      <c r="C463">
        <v>7</v>
      </c>
      <c r="D463">
        <v>27.35</v>
      </c>
      <c r="E463">
        <v>-71</v>
      </c>
      <c r="F463">
        <v>10.380460153384499</v>
      </c>
    </row>
    <row r="464" spans="1:6" x14ac:dyDescent="0.25">
      <c r="A464" t="s">
        <v>13</v>
      </c>
      <c r="B464">
        <v>3</v>
      </c>
      <c r="C464">
        <v>7</v>
      </c>
      <c r="D464">
        <v>27.7</v>
      </c>
      <c r="E464">
        <v>-71</v>
      </c>
      <c r="F464">
        <v>10.079693231077</v>
      </c>
    </row>
    <row r="465" spans="1:6" x14ac:dyDescent="0.25">
      <c r="A465" t="s">
        <v>13</v>
      </c>
      <c r="B465">
        <v>3</v>
      </c>
      <c r="C465">
        <v>7</v>
      </c>
      <c r="D465">
        <v>28.05</v>
      </c>
      <c r="E465">
        <v>-71</v>
      </c>
      <c r="F465">
        <v>8.9133044348116108</v>
      </c>
    </row>
    <row r="466" spans="1:6" x14ac:dyDescent="0.25">
      <c r="A466" t="s">
        <v>13</v>
      </c>
      <c r="B466">
        <v>3</v>
      </c>
      <c r="C466">
        <v>7</v>
      </c>
      <c r="D466">
        <v>28.4</v>
      </c>
      <c r="E466">
        <v>-71</v>
      </c>
      <c r="F466">
        <v>4.6658886295431898</v>
      </c>
    </row>
    <row r="467" spans="1:6" x14ac:dyDescent="0.25">
      <c r="A467" t="s">
        <v>13</v>
      </c>
      <c r="B467">
        <v>3</v>
      </c>
      <c r="C467">
        <v>7</v>
      </c>
      <c r="D467">
        <v>28.75</v>
      </c>
      <c r="E467">
        <v>-71</v>
      </c>
      <c r="F467">
        <v>3.0006668889629902</v>
      </c>
    </row>
    <row r="468" spans="1:6" x14ac:dyDescent="0.25">
      <c r="A468" t="s">
        <v>13</v>
      </c>
      <c r="B468">
        <v>3</v>
      </c>
      <c r="C468">
        <v>7</v>
      </c>
      <c r="D468">
        <v>29.1</v>
      </c>
      <c r="E468">
        <v>-71</v>
      </c>
      <c r="F468">
        <v>2.9639879959986701</v>
      </c>
    </row>
    <row r="469" spans="1:6" x14ac:dyDescent="0.25">
      <c r="A469" t="s">
        <v>13</v>
      </c>
      <c r="B469">
        <v>4</v>
      </c>
      <c r="C469">
        <v>7</v>
      </c>
      <c r="D469">
        <v>33.9</v>
      </c>
      <c r="E469">
        <v>-71</v>
      </c>
      <c r="F469">
        <v>3.31787342898454</v>
      </c>
    </row>
    <row r="470" spans="1:6" x14ac:dyDescent="0.25">
      <c r="A470" t="s">
        <v>13</v>
      </c>
      <c r="B470">
        <v>4</v>
      </c>
      <c r="C470">
        <v>7</v>
      </c>
      <c r="D470">
        <v>34.25</v>
      </c>
      <c r="E470">
        <v>-71</v>
      </c>
      <c r="F470">
        <v>3.31787342898454</v>
      </c>
    </row>
    <row r="471" spans="1:6" x14ac:dyDescent="0.25">
      <c r="A471" t="s">
        <v>13</v>
      </c>
      <c r="B471">
        <v>4</v>
      </c>
      <c r="C471">
        <v>7</v>
      </c>
      <c r="D471">
        <v>34.6</v>
      </c>
      <c r="E471">
        <v>-71</v>
      </c>
      <c r="F471">
        <v>7.2010899788677598</v>
      </c>
    </row>
    <row r="472" spans="1:6" x14ac:dyDescent="0.25">
      <c r="A472" t="s">
        <v>13</v>
      </c>
      <c r="B472">
        <v>4</v>
      </c>
      <c r="C472">
        <v>7</v>
      </c>
      <c r="D472">
        <v>34.950000000000003</v>
      </c>
      <c r="E472">
        <v>-71</v>
      </c>
      <c r="F472">
        <v>9.9832054276498692</v>
      </c>
    </row>
    <row r="473" spans="1:6" x14ac:dyDescent="0.25">
      <c r="A473" t="s">
        <v>13</v>
      </c>
      <c r="B473">
        <v>4</v>
      </c>
      <c r="C473">
        <v>7</v>
      </c>
      <c r="D473">
        <v>35.299999999999997</v>
      </c>
      <c r="E473">
        <v>-71</v>
      </c>
      <c r="F473">
        <v>10.453008564119701</v>
      </c>
    </row>
    <row r="474" spans="1:6" x14ac:dyDescent="0.25">
      <c r="A474" t="s">
        <v>13</v>
      </c>
      <c r="B474">
        <v>4</v>
      </c>
      <c r="C474">
        <v>7</v>
      </c>
      <c r="D474">
        <v>35.65</v>
      </c>
      <c r="E474">
        <v>-71</v>
      </c>
      <c r="F474">
        <v>10.548437326215099</v>
      </c>
    </row>
    <row r="475" spans="1:6" x14ac:dyDescent="0.25">
      <c r="A475" t="s">
        <v>13</v>
      </c>
      <c r="B475">
        <v>4</v>
      </c>
      <c r="C475">
        <v>7</v>
      </c>
      <c r="D475">
        <v>36</v>
      </c>
      <c r="E475">
        <v>-71</v>
      </c>
      <c r="F475">
        <v>10.482371260149</v>
      </c>
    </row>
    <row r="476" spans="1:6" x14ac:dyDescent="0.25">
      <c r="A476" t="s">
        <v>13</v>
      </c>
      <c r="B476">
        <v>4</v>
      </c>
      <c r="C476">
        <v>7</v>
      </c>
      <c r="D476">
        <v>36.35</v>
      </c>
      <c r="E476">
        <v>-71</v>
      </c>
      <c r="F476">
        <v>10.3502391280169</v>
      </c>
    </row>
    <row r="477" spans="1:6" x14ac:dyDescent="0.25">
      <c r="A477" t="s">
        <v>13</v>
      </c>
      <c r="B477">
        <v>4</v>
      </c>
      <c r="C477">
        <v>7</v>
      </c>
      <c r="D477">
        <v>36.700000000000003</v>
      </c>
      <c r="E477">
        <v>-71</v>
      </c>
      <c r="F477">
        <v>9.1904126348570792</v>
      </c>
    </row>
    <row r="478" spans="1:6" x14ac:dyDescent="0.25">
      <c r="A478" t="s">
        <v>13</v>
      </c>
      <c r="B478">
        <v>4</v>
      </c>
      <c r="C478">
        <v>7</v>
      </c>
      <c r="D478">
        <v>37.049999999999997</v>
      </c>
      <c r="E478">
        <v>-71</v>
      </c>
      <c r="F478">
        <v>2.8187075964853801</v>
      </c>
    </row>
    <row r="479" spans="1:6" x14ac:dyDescent="0.25">
      <c r="A479" t="s">
        <v>13</v>
      </c>
      <c r="B479">
        <v>4</v>
      </c>
      <c r="C479">
        <v>7</v>
      </c>
      <c r="D479">
        <v>37.4</v>
      </c>
      <c r="E479">
        <v>-71</v>
      </c>
      <c r="F479">
        <v>2.6498720943165401</v>
      </c>
    </row>
    <row r="480" spans="1:6" x14ac:dyDescent="0.25">
      <c r="A480" t="s">
        <v>13</v>
      </c>
      <c r="B480">
        <v>4</v>
      </c>
      <c r="C480">
        <v>7</v>
      </c>
      <c r="D480">
        <v>37.75</v>
      </c>
      <c r="E480">
        <v>-71</v>
      </c>
      <c r="F480">
        <v>2.88477366255144</v>
      </c>
    </row>
    <row r="481" spans="1:6" x14ac:dyDescent="0.25">
      <c r="A481" t="s">
        <v>13</v>
      </c>
      <c r="B481">
        <v>4</v>
      </c>
      <c r="C481">
        <v>7</v>
      </c>
      <c r="D481">
        <v>38.1</v>
      </c>
      <c r="E481">
        <v>-71</v>
      </c>
      <c r="F481">
        <v>3.0829718607496401</v>
      </c>
    </row>
    <row r="482" spans="1:6" x14ac:dyDescent="0.25">
      <c r="A482" t="s">
        <v>13</v>
      </c>
      <c r="B482">
        <v>5</v>
      </c>
      <c r="C482">
        <v>7</v>
      </c>
      <c r="D482">
        <v>42.9</v>
      </c>
      <c r="E482">
        <v>-71</v>
      </c>
      <c r="F482">
        <v>3.2236203090507698</v>
      </c>
    </row>
    <row r="483" spans="1:6" x14ac:dyDescent="0.25">
      <c r="A483" t="s">
        <v>13</v>
      </c>
      <c r="B483">
        <v>5</v>
      </c>
      <c r="C483">
        <v>7</v>
      </c>
      <c r="D483">
        <v>43.25</v>
      </c>
      <c r="E483">
        <v>-71</v>
      </c>
      <c r="F483">
        <v>3.2236203090507698</v>
      </c>
    </row>
    <row r="484" spans="1:6" x14ac:dyDescent="0.25">
      <c r="A484" t="s">
        <v>13</v>
      </c>
      <c r="B484">
        <v>5</v>
      </c>
      <c r="C484">
        <v>7</v>
      </c>
      <c r="D484">
        <v>43.6</v>
      </c>
      <c r="E484">
        <v>-71</v>
      </c>
      <c r="F484">
        <v>8.5560706401765998</v>
      </c>
    </row>
    <row r="485" spans="1:6" x14ac:dyDescent="0.25">
      <c r="A485" t="s">
        <v>13</v>
      </c>
      <c r="B485">
        <v>5</v>
      </c>
      <c r="C485">
        <v>7</v>
      </c>
      <c r="D485">
        <v>43.95</v>
      </c>
      <c r="E485">
        <v>-71</v>
      </c>
      <c r="F485">
        <v>10.0348785871965</v>
      </c>
    </row>
    <row r="486" spans="1:6" x14ac:dyDescent="0.25">
      <c r="A486" t="s">
        <v>13</v>
      </c>
      <c r="B486">
        <v>5</v>
      </c>
      <c r="C486">
        <v>7</v>
      </c>
      <c r="D486">
        <v>44.3</v>
      </c>
      <c r="E486">
        <v>-71</v>
      </c>
      <c r="F486">
        <v>10.4646799116998</v>
      </c>
    </row>
    <row r="487" spans="1:6" x14ac:dyDescent="0.25">
      <c r="A487" t="s">
        <v>13</v>
      </c>
      <c r="B487">
        <v>5</v>
      </c>
      <c r="C487">
        <v>7</v>
      </c>
      <c r="D487">
        <v>44.65</v>
      </c>
      <c r="E487">
        <v>-71</v>
      </c>
      <c r="F487">
        <v>10.5302428256071</v>
      </c>
    </row>
    <row r="488" spans="1:6" x14ac:dyDescent="0.25">
      <c r="A488" t="s">
        <v>13</v>
      </c>
      <c r="B488">
        <v>5</v>
      </c>
      <c r="C488">
        <v>7</v>
      </c>
      <c r="D488">
        <v>45</v>
      </c>
      <c r="E488">
        <v>-71</v>
      </c>
      <c r="F488">
        <v>10.4355408388521</v>
      </c>
    </row>
    <row r="489" spans="1:6" x14ac:dyDescent="0.25">
      <c r="A489" t="s">
        <v>13</v>
      </c>
      <c r="B489">
        <v>5</v>
      </c>
      <c r="C489">
        <v>7</v>
      </c>
      <c r="D489">
        <v>45.35</v>
      </c>
      <c r="E489">
        <v>-71</v>
      </c>
      <c r="F489">
        <v>10.173289183223</v>
      </c>
    </row>
    <row r="490" spans="1:6" x14ac:dyDescent="0.25">
      <c r="A490" t="s">
        <v>13</v>
      </c>
      <c r="B490">
        <v>5</v>
      </c>
      <c r="C490">
        <v>7</v>
      </c>
      <c r="D490">
        <v>45.7</v>
      </c>
      <c r="E490">
        <v>-71</v>
      </c>
      <c r="F490">
        <v>9.1461368653421609</v>
      </c>
    </row>
    <row r="491" spans="1:6" x14ac:dyDescent="0.25">
      <c r="A491" t="s">
        <v>13</v>
      </c>
      <c r="B491">
        <v>5</v>
      </c>
      <c r="C491">
        <v>7</v>
      </c>
      <c r="D491">
        <v>46.05</v>
      </c>
      <c r="E491">
        <v>-71</v>
      </c>
      <c r="F491">
        <v>7.3686534216335504</v>
      </c>
    </row>
    <row r="492" spans="1:6" x14ac:dyDescent="0.25">
      <c r="A492" t="s">
        <v>13</v>
      </c>
      <c r="B492">
        <v>5</v>
      </c>
      <c r="C492">
        <v>7</v>
      </c>
      <c r="D492">
        <v>46.4</v>
      </c>
      <c r="E492">
        <v>-71</v>
      </c>
      <c r="F492">
        <v>2.7938189845474599</v>
      </c>
    </row>
    <row r="493" spans="1:6" x14ac:dyDescent="0.25">
      <c r="A493" t="s">
        <v>13</v>
      </c>
      <c r="B493">
        <v>5</v>
      </c>
      <c r="C493">
        <v>7</v>
      </c>
      <c r="D493">
        <v>46.75</v>
      </c>
      <c r="E493">
        <v>-71</v>
      </c>
      <c r="F493">
        <v>2.8958057395143499</v>
      </c>
    </row>
    <row r="494" spans="1:6" x14ac:dyDescent="0.25">
      <c r="A494" t="s">
        <v>13</v>
      </c>
      <c r="B494">
        <v>5</v>
      </c>
      <c r="C494">
        <v>7</v>
      </c>
      <c r="D494">
        <v>47.1</v>
      </c>
      <c r="E494">
        <v>-71</v>
      </c>
      <c r="F494">
        <v>3.0560706401765998</v>
      </c>
    </row>
    <row r="495" spans="1:6" x14ac:dyDescent="0.25">
      <c r="A495" t="s">
        <v>13</v>
      </c>
      <c r="B495">
        <v>6</v>
      </c>
      <c r="C495">
        <v>7</v>
      </c>
      <c r="D495">
        <v>51.9</v>
      </c>
      <c r="E495">
        <v>-71</v>
      </c>
      <c r="F495">
        <v>4.4237175216522298</v>
      </c>
    </row>
    <row r="496" spans="1:6" x14ac:dyDescent="0.25">
      <c r="A496" t="s">
        <v>13</v>
      </c>
      <c r="B496">
        <v>6</v>
      </c>
      <c r="C496">
        <v>7</v>
      </c>
      <c r="D496">
        <v>52.25</v>
      </c>
      <c r="E496">
        <v>-71</v>
      </c>
      <c r="F496">
        <v>9.2385076615589607</v>
      </c>
    </row>
    <row r="497" spans="1:6" x14ac:dyDescent="0.25">
      <c r="A497" t="s">
        <v>13</v>
      </c>
      <c r="B497">
        <v>6</v>
      </c>
      <c r="C497">
        <v>7</v>
      </c>
      <c r="D497">
        <v>52.6</v>
      </c>
      <c r="E497">
        <v>-71</v>
      </c>
      <c r="F497">
        <v>10.2351765489674</v>
      </c>
    </row>
    <row r="498" spans="1:6" x14ac:dyDescent="0.25">
      <c r="A498" t="s">
        <v>13</v>
      </c>
      <c r="B498">
        <v>6</v>
      </c>
      <c r="C498">
        <v>7</v>
      </c>
      <c r="D498">
        <v>52.95</v>
      </c>
      <c r="E498">
        <v>-71</v>
      </c>
      <c r="F498">
        <v>10.601598934044</v>
      </c>
    </row>
    <row r="499" spans="1:6" x14ac:dyDescent="0.25">
      <c r="A499" t="s">
        <v>13</v>
      </c>
      <c r="B499">
        <v>6</v>
      </c>
      <c r="C499">
        <v>7</v>
      </c>
      <c r="D499">
        <v>53.3</v>
      </c>
      <c r="E499">
        <v>-71</v>
      </c>
      <c r="F499">
        <v>10.733510992671601</v>
      </c>
    </row>
    <row r="500" spans="1:6" x14ac:dyDescent="0.25">
      <c r="A500" t="s">
        <v>13</v>
      </c>
      <c r="B500">
        <v>6</v>
      </c>
      <c r="C500">
        <v>7</v>
      </c>
      <c r="D500">
        <v>53.65</v>
      </c>
      <c r="E500">
        <v>-71</v>
      </c>
      <c r="F500">
        <v>10.7041972018654</v>
      </c>
    </row>
    <row r="501" spans="1:6" x14ac:dyDescent="0.25">
      <c r="A501" t="s">
        <v>13</v>
      </c>
      <c r="B501">
        <v>6</v>
      </c>
      <c r="C501">
        <v>7</v>
      </c>
      <c r="D501">
        <v>54</v>
      </c>
      <c r="E501">
        <v>-71</v>
      </c>
      <c r="F501">
        <v>10.601598934044</v>
      </c>
    </row>
    <row r="502" spans="1:6" x14ac:dyDescent="0.25">
      <c r="A502" t="s">
        <v>13</v>
      </c>
      <c r="B502">
        <v>6</v>
      </c>
      <c r="C502">
        <v>7</v>
      </c>
      <c r="D502">
        <v>54.35</v>
      </c>
      <c r="E502">
        <v>-71</v>
      </c>
      <c r="F502">
        <v>10.4696868754164</v>
      </c>
    </row>
    <row r="503" spans="1:6" x14ac:dyDescent="0.25">
      <c r="A503" t="s">
        <v>13</v>
      </c>
      <c r="B503">
        <v>6</v>
      </c>
      <c r="C503">
        <v>7</v>
      </c>
      <c r="D503">
        <v>54.7</v>
      </c>
      <c r="E503">
        <v>-71</v>
      </c>
      <c r="F503">
        <v>9.1725516322451703</v>
      </c>
    </row>
    <row r="504" spans="1:6" x14ac:dyDescent="0.25">
      <c r="A504" t="s">
        <v>13</v>
      </c>
      <c r="B504">
        <v>6</v>
      </c>
      <c r="C504">
        <v>7</v>
      </c>
      <c r="D504">
        <v>55.05</v>
      </c>
      <c r="E504">
        <v>-71</v>
      </c>
      <c r="F504">
        <v>8.2418387741505708</v>
      </c>
    </row>
    <row r="505" spans="1:6" x14ac:dyDescent="0.25">
      <c r="A505" t="s">
        <v>13</v>
      </c>
      <c r="B505">
        <v>6</v>
      </c>
      <c r="C505">
        <v>7</v>
      </c>
      <c r="D505">
        <v>55.4</v>
      </c>
      <c r="E505">
        <v>-71</v>
      </c>
      <c r="F505">
        <v>3.19253830779481</v>
      </c>
    </row>
    <row r="506" spans="1:6" x14ac:dyDescent="0.25">
      <c r="A506" t="s">
        <v>13</v>
      </c>
      <c r="B506">
        <v>6</v>
      </c>
      <c r="C506">
        <v>7</v>
      </c>
      <c r="D506">
        <v>55.75</v>
      </c>
      <c r="E506">
        <v>-71</v>
      </c>
      <c r="F506">
        <v>3.1558960692871398</v>
      </c>
    </row>
    <row r="507" spans="1:6" x14ac:dyDescent="0.25">
      <c r="A507" t="s">
        <v>13</v>
      </c>
      <c r="B507">
        <v>6</v>
      </c>
      <c r="C507">
        <v>7</v>
      </c>
      <c r="D507">
        <v>56.1</v>
      </c>
      <c r="E507">
        <v>-71</v>
      </c>
      <c r="F507">
        <v>3.2291805463024699</v>
      </c>
    </row>
    <row r="508" spans="1:6" x14ac:dyDescent="0.25">
      <c r="A508" t="s">
        <v>13</v>
      </c>
      <c r="B508">
        <v>7</v>
      </c>
      <c r="C508">
        <v>7</v>
      </c>
      <c r="D508">
        <v>60.9</v>
      </c>
      <c r="E508">
        <v>-71</v>
      </c>
      <c r="F508">
        <v>9.5347129506008006</v>
      </c>
    </row>
    <row r="509" spans="1:6" x14ac:dyDescent="0.25">
      <c r="A509" t="s">
        <v>13</v>
      </c>
      <c r="B509">
        <v>7</v>
      </c>
      <c r="C509">
        <v>7</v>
      </c>
      <c r="D509">
        <v>61.25</v>
      </c>
      <c r="E509">
        <v>-71</v>
      </c>
      <c r="F509">
        <v>10.1368491321762</v>
      </c>
    </row>
    <row r="510" spans="1:6" x14ac:dyDescent="0.25">
      <c r="A510" t="s">
        <v>13</v>
      </c>
      <c r="B510">
        <v>7</v>
      </c>
      <c r="C510">
        <v>7</v>
      </c>
      <c r="D510">
        <v>61.6</v>
      </c>
      <c r="E510">
        <v>-71</v>
      </c>
      <c r="F510">
        <v>10.5407209612817</v>
      </c>
    </row>
    <row r="511" spans="1:6" x14ac:dyDescent="0.25">
      <c r="A511" t="s">
        <v>13</v>
      </c>
      <c r="B511">
        <v>7</v>
      </c>
      <c r="C511">
        <v>7</v>
      </c>
      <c r="D511">
        <v>61.95</v>
      </c>
      <c r="E511">
        <v>-71</v>
      </c>
      <c r="F511">
        <v>10.746328437917199</v>
      </c>
    </row>
    <row r="512" spans="1:6" x14ac:dyDescent="0.25">
      <c r="A512" t="s">
        <v>13</v>
      </c>
      <c r="B512">
        <v>7</v>
      </c>
      <c r="C512">
        <v>7</v>
      </c>
      <c r="D512">
        <v>62.3</v>
      </c>
      <c r="E512">
        <v>-71</v>
      </c>
      <c r="F512">
        <v>10.783044058745</v>
      </c>
    </row>
    <row r="513" spans="1:6" x14ac:dyDescent="0.25">
      <c r="A513" t="s">
        <v>13</v>
      </c>
      <c r="B513">
        <v>7</v>
      </c>
      <c r="C513">
        <v>7</v>
      </c>
      <c r="D513">
        <v>62.65</v>
      </c>
      <c r="E513">
        <v>-71</v>
      </c>
      <c r="F513">
        <v>10.746328437917199</v>
      </c>
    </row>
    <row r="514" spans="1:6" x14ac:dyDescent="0.25">
      <c r="A514" t="s">
        <v>13</v>
      </c>
      <c r="B514">
        <v>7</v>
      </c>
      <c r="C514">
        <v>7</v>
      </c>
      <c r="D514">
        <v>63</v>
      </c>
      <c r="E514">
        <v>-71</v>
      </c>
      <c r="F514">
        <v>10.6141522029372</v>
      </c>
    </row>
    <row r="515" spans="1:6" x14ac:dyDescent="0.25">
      <c r="A515" t="s">
        <v>13</v>
      </c>
      <c r="B515">
        <v>7</v>
      </c>
      <c r="C515">
        <v>7</v>
      </c>
      <c r="D515">
        <v>63.35</v>
      </c>
      <c r="E515">
        <v>-71</v>
      </c>
      <c r="F515">
        <v>10.173564753003999</v>
      </c>
    </row>
    <row r="516" spans="1:6" x14ac:dyDescent="0.25">
      <c r="A516" t="s">
        <v>13</v>
      </c>
      <c r="B516">
        <v>7</v>
      </c>
      <c r="C516">
        <v>7</v>
      </c>
      <c r="D516">
        <v>63.7</v>
      </c>
      <c r="E516">
        <v>-71</v>
      </c>
      <c r="F516">
        <v>9.2263017356475192</v>
      </c>
    </row>
    <row r="517" spans="1:6" x14ac:dyDescent="0.25">
      <c r="A517" t="s">
        <v>13</v>
      </c>
      <c r="B517">
        <v>7</v>
      </c>
      <c r="C517">
        <v>7</v>
      </c>
      <c r="D517">
        <v>64.05</v>
      </c>
      <c r="E517">
        <v>-71</v>
      </c>
      <c r="F517">
        <v>6.7957276368491302</v>
      </c>
    </row>
    <row r="518" spans="1:6" x14ac:dyDescent="0.25">
      <c r="A518" t="s">
        <v>13</v>
      </c>
      <c r="B518">
        <v>7</v>
      </c>
      <c r="C518">
        <v>7</v>
      </c>
      <c r="D518">
        <v>64.400000000000006</v>
      </c>
      <c r="E518">
        <v>-71</v>
      </c>
      <c r="F518">
        <v>6.5313751668891804</v>
      </c>
    </row>
    <row r="519" spans="1:6" x14ac:dyDescent="0.25">
      <c r="A519" t="s">
        <v>13</v>
      </c>
      <c r="B519">
        <v>7</v>
      </c>
      <c r="C519">
        <v>7</v>
      </c>
      <c r="D519">
        <v>64.75</v>
      </c>
      <c r="E519">
        <v>-71</v>
      </c>
      <c r="F519">
        <v>3.3224299065420499</v>
      </c>
    </row>
    <row r="520" spans="1:6" x14ac:dyDescent="0.25">
      <c r="A520" t="s">
        <v>13</v>
      </c>
      <c r="B520">
        <v>7</v>
      </c>
      <c r="C520">
        <v>7</v>
      </c>
      <c r="D520">
        <v>65.099999999999994</v>
      </c>
      <c r="E520">
        <v>-71</v>
      </c>
      <c r="F520">
        <v>3.2563417890520698</v>
      </c>
    </row>
    <row r="521" spans="1:6" x14ac:dyDescent="0.25">
      <c r="A521" t="s">
        <v>13</v>
      </c>
      <c r="B521">
        <v>0</v>
      </c>
      <c r="C521">
        <v>6</v>
      </c>
      <c r="D521">
        <v>-2.1</v>
      </c>
      <c r="E521">
        <v>-62</v>
      </c>
      <c r="F521">
        <v>7.5149394646229002</v>
      </c>
    </row>
    <row r="522" spans="1:6" x14ac:dyDescent="0.25">
      <c r="A522" t="s">
        <v>13</v>
      </c>
      <c r="B522">
        <v>0</v>
      </c>
      <c r="C522">
        <v>6</v>
      </c>
      <c r="D522">
        <v>-1.75</v>
      </c>
      <c r="E522">
        <v>-62</v>
      </c>
      <c r="F522">
        <v>8.9298011773853201</v>
      </c>
    </row>
    <row r="523" spans="1:6" x14ac:dyDescent="0.25">
      <c r="A523" t="s">
        <v>13</v>
      </c>
      <c r="B523">
        <v>0</v>
      </c>
      <c r="C523">
        <v>6</v>
      </c>
      <c r="D523">
        <v>-1.4</v>
      </c>
      <c r="E523">
        <v>-62</v>
      </c>
      <c r="F523">
        <v>9.6042430301010793</v>
      </c>
    </row>
    <row r="524" spans="1:6" x14ac:dyDescent="0.25">
      <c r="A524" t="s">
        <v>13</v>
      </c>
      <c r="B524">
        <v>0</v>
      </c>
      <c r="C524">
        <v>6</v>
      </c>
      <c r="D524">
        <v>-1.05</v>
      </c>
      <c r="E524">
        <v>-62</v>
      </c>
      <c r="F524">
        <v>10.0367655226036</v>
      </c>
    </row>
    <row r="525" spans="1:6" x14ac:dyDescent="0.25">
      <c r="A525" t="s">
        <v>13</v>
      </c>
      <c r="B525">
        <v>0</v>
      </c>
      <c r="C525">
        <v>6</v>
      </c>
      <c r="D525">
        <v>-0.7</v>
      </c>
      <c r="E525">
        <v>-62</v>
      </c>
      <c r="F525">
        <v>10.373986448961499</v>
      </c>
    </row>
    <row r="526" spans="1:6" x14ac:dyDescent="0.25">
      <c r="A526" t="s">
        <v>13</v>
      </c>
      <c r="B526">
        <v>0</v>
      </c>
      <c r="C526">
        <v>6</v>
      </c>
      <c r="D526">
        <v>-0.35</v>
      </c>
      <c r="E526">
        <v>-62</v>
      </c>
      <c r="F526">
        <v>10.5425969121404</v>
      </c>
    </row>
    <row r="527" spans="1:6" x14ac:dyDescent="0.25">
      <c r="A527" t="s">
        <v>13</v>
      </c>
      <c r="B527">
        <v>0</v>
      </c>
      <c r="C527">
        <v>6</v>
      </c>
      <c r="D527" s="1">
        <v>-4.4408920985006301E-16</v>
      </c>
      <c r="E527">
        <v>-62</v>
      </c>
      <c r="F527">
        <v>10.6085749194713</v>
      </c>
    </row>
    <row r="528" spans="1:6" x14ac:dyDescent="0.25">
      <c r="A528" t="s">
        <v>13</v>
      </c>
      <c r="B528">
        <v>0</v>
      </c>
      <c r="C528">
        <v>6</v>
      </c>
      <c r="D528">
        <v>0.35</v>
      </c>
      <c r="E528">
        <v>-62</v>
      </c>
      <c r="F528">
        <v>10.579251360657601</v>
      </c>
    </row>
    <row r="529" spans="1:6" x14ac:dyDescent="0.25">
      <c r="A529" t="s">
        <v>13</v>
      </c>
      <c r="B529">
        <v>0</v>
      </c>
      <c r="C529">
        <v>6</v>
      </c>
      <c r="D529">
        <v>0.7</v>
      </c>
      <c r="E529">
        <v>-62</v>
      </c>
      <c r="F529">
        <v>10.4399644562923</v>
      </c>
    </row>
    <row r="530" spans="1:6" x14ac:dyDescent="0.25">
      <c r="A530" t="s">
        <v>13</v>
      </c>
      <c r="B530">
        <v>0</v>
      </c>
      <c r="C530">
        <v>6</v>
      </c>
      <c r="D530">
        <v>1.05</v>
      </c>
      <c r="E530">
        <v>-62</v>
      </c>
      <c r="F530">
        <v>10.3080084416306</v>
      </c>
    </row>
    <row r="531" spans="1:6" x14ac:dyDescent="0.25">
      <c r="A531" t="s">
        <v>13</v>
      </c>
      <c r="B531">
        <v>0</v>
      </c>
      <c r="C531">
        <v>6</v>
      </c>
      <c r="D531">
        <v>1.4</v>
      </c>
      <c r="E531">
        <v>-62</v>
      </c>
      <c r="F531">
        <v>9.3623236698878092</v>
      </c>
    </row>
    <row r="532" spans="1:6" x14ac:dyDescent="0.25">
      <c r="A532" t="s">
        <v>13</v>
      </c>
      <c r="B532">
        <v>0</v>
      </c>
      <c r="C532">
        <v>6</v>
      </c>
      <c r="D532">
        <v>1.75</v>
      </c>
      <c r="E532">
        <v>-62</v>
      </c>
      <c r="F532">
        <v>7.6468954792846802</v>
      </c>
    </row>
    <row r="533" spans="1:6" x14ac:dyDescent="0.25">
      <c r="A533" t="s">
        <v>13</v>
      </c>
      <c r="B533">
        <v>0</v>
      </c>
      <c r="C533">
        <v>6</v>
      </c>
      <c r="D533">
        <v>2.1</v>
      </c>
      <c r="E533">
        <v>-62</v>
      </c>
      <c r="F533">
        <v>3.4023103409974498</v>
      </c>
    </row>
    <row r="534" spans="1:6" x14ac:dyDescent="0.25">
      <c r="A534" t="s">
        <v>13</v>
      </c>
      <c r="B534">
        <v>1</v>
      </c>
      <c r="C534">
        <v>6</v>
      </c>
      <c r="D534">
        <v>6.9</v>
      </c>
      <c r="E534">
        <v>-62</v>
      </c>
      <c r="F534">
        <v>3.20004450378282</v>
      </c>
    </row>
    <row r="535" spans="1:6" x14ac:dyDescent="0.25">
      <c r="A535" t="s">
        <v>13</v>
      </c>
      <c r="B535">
        <v>1</v>
      </c>
      <c r="C535">
        <v>6</v>
      </c>
      <c r="D535">
        <v>7.25</v>
      </c>
      <c r="E535">
        <v>-62</v>
      </c>
      <c r="F535">
        <v>3.67000445037828</v>
      </c>
    </row>
    <row r="536" spans="1:6" x14ac:dyDescent="0.25">
      <c r="A536" t="s">
        <v>13</v>
      </c>
      <c r="B536">
        <v>1</v>
      </c>
      <c r="C536">
        <v>6</v>
      </c>
      <c r="D536">
        <v>7.6</v>
      </c>
      <c r="E536">
        <v>-62</v>
      </c>
      <c r="F536">
        <v>3.3689363595905699</v>
      </c>
    </row>
    <row r="537" spans="1:6" x14ac:dyDescent="0.25">
      <c r="A537" t="s">
        <v>13</v>
      </c>
      <c r="B537">
        <v>1</v>
      </c>
      <c r="C537">
        <v>6</v>
      </c>
      <c r="D537">
        <v>7.95</v>
      </c>
      <c r="E537">
        <v>-62</v>
      </c>
      <c r="F537">
        <v>9.6693368936359594</v>
      </c>
    </row>
    <row r="538" spans="1:6" x14ac:dyDescent="0.25">
      <c r="A538" t="s">
        <v>13</v>
      </c>
      <c r="B538">
        <v>1</v>
      </c>
      <c r="C538">
        <v>6</v>
      </c>
      <c r="D538">
        <v>8.3000000000000007</v>
      </c>
      <c r="E538">
        <v>-62</v>
      </c>
      <c r="F538">
        <v>10.1025812194036</v>
      </c>
    </row>
    <row r="539" spans="1:6" x14ac:dyDescent="0.25">
      <c r="A539" t="s">
        <v>13</v>
      </c>
      <c r="B539">
        <v>1</v>
      </c>
      <c r="C539">
        <v>6</v>
      </c>
      <c r="D539">
        <v>8.65</v>
      </c>
      <c r="E539">
        <v>-62</v>
      </c>
      <c r="F539">
        <v>10.337561192701401</v>
      </c>
    </row>
    <row r="540" spans="1:6" x14ac:dyDescent="0.25">
      <c r="A540" t="s">
        <v>13</v>
      </c>
      <c r="B540">
        <v>1</v>
      </c>
      <c r="C540">
        <v>6</v>
      </c>
      <c r="D540">
        <v>9</v>
      </c>
      <c r="E540">
        <v>-62</v>
      </c>
      <c r="F540">
        <v>10.2714730752114</v>
      </c>
    </row>
    <row r="541" spans="1:6" x14ac:dyDescent="0.25">
      <c r="A541" t="s">
        <v>13</v>
      </c>
      <c r="B541">
        <v>1</v>
      </c>
      <c r="C541">
        <v>6</v>
      </c>
      <c r="D541">
        <v>9.35</v>
      </c>
      <c r="E541">
        <v>-62</v>
      </c>
      <c r="F541">
        <v>9.9704049844236806</v>
      </c>
    </row>
    <row r="542" spans="1:6" x14ac:dyDescent="0.25">
      <c r="A542" t="s">
        <v>13</v>
      </c>
      <c r="B542">
        <v>1</v>
      </c>
      <c r="C542">
        <v>6</v>
      </c>
      <c r="D542">
        <v>9.6999999999999993</v>
      </c>
      <c r="E542">
        <v>-62</v>
      </c>
      <c r="F542">
        <v>9.7721406319537198</v>
      </c>
    </row>
    <row r="543" spans="1:6" x14ac:dyDescent="0.25">
      <c r="A543" t="s">
        <v>13</v>
      </c>
      <c r="B543">
        <v>1</v>
      </c>
      <c r="C543">
        <v>6</v>
      </c>
      <c r="D543">
        <v>10.050000000000001</v>
      </c>
      <c r="E543">
        <v>-62</v>
      </c>
      <c r="F543">
        <v>9.0672007120605294</v>
      </c>
    </row>
    <row r="544" spans="1:6" x14ac:dyDescent="0.25">
      <c r="A544" t="s">
        <v>13</v>
      </c>
      <c r="B544">
        <v>1</v>
      </c>
      <c r="C544">
        <v>6</v>
      </c>
      <c r="D544">
        <v>10.4</v>
      </c>
      <c r="E544">
        <v>-62</v>
      </c>
      <c r="F544">
        <v>6.0712060525144604</v>
      </c>
    </row>
    <row r="545" spans="1:6" x14ac:dyDescent="0.25">
      <c r="A545" t="s">
        <v>13</v>
      </c>
      <c r="B545">
        <v>1</v>
      </c>
      <c r="C545">
        <v>6</v>
      </c>
      <c r="D545">
        <v>10.75</v>
      </c>
      <c r="E545">
        <v>-62</v>
      </c>
      <c r="F545">
        <v>4.1326212728081897</v>
      </c>
    </row>
    <row r="546" spans="1:6" x14ac:dyDescent="0.25">
      <c r="A546" t="s">
        <v>13</v>
      </c>
      <c r="B546">
        <v>1</v>
      </c>
      <c r="C546">
        <v>6</v>
      </c>
      <c r="D546">
        <v>11.1</v>
      </c>
      <c r="E546">
        <v>-62</v>
      </c>
      <c r="F546">
        <v>3.06786826880285</v>
      </c>
    </row>
    <row r="547" spans="1:6" x14ac:dyDescent="0.25">
      <c r="A547" t="s">
        <v>13</v>
      </c>
      <c r="B547">
        <v>2</v>
      </c>
      <c r="C547">
        <v>6</v>
      </c>
      <c r="D547">
        <v>15.9</v>
      </c>
      <c r="E547">
        <v>-62</v>
      </c>
      <c r="F547">
        <v>3.18444444444444</v>
      </c>
    </row>
    <row r="548" spans="1:6" x14ac:dyDescent="0.25">
      <c r="A548" t="s">
        <v>13</v>
      </c>
      <c r="B548">
        <v>2</v>
      </c>
      <c r="C548">
        <v>6</v>
      </c>
      <c r="D548">
        <v>16.25</v>
      </c>
      <c r="E548">
        <v>-62</v>
      </c>
      <c r="F548">
        <v>3.18444444444444</v>
      </c>
    </row>
    <row r="549" spans="1:6" x14ac:dyDescent="0.25">
      <c r="A549" t="s">
        <v>13</v>
      </c>
      <c r="B549">
        <v>2</v>
      </c>
      <c r="C549">
        <v>6</v>
      </c>
      <c r="D549">
        <v>16.600000000000001</v>
      </c>
      <c r="E549">
        <v>-62</v>
      </c>
      <c r="F549">
        <v>3.1477777777777698</v>
      </c>
    </row>
    <row r="550" spans="1:6" x14ac:dyDescent="0.25">
      <c r="A550" t="s">
        <v>13</v>
      </c>
      <c r="B550">
        <v>2</v>
      </c>
      <c r="C550">
        <v>6</v>
      </c>
      <c r="D550">
        <v>16.95</v>
      </c>
      <c r="E550">
        <v>-62</v>
      </c>
      <c r="F550">
        <v>9.1537777777777691</v>
      </c>
    </row>
    <row r="551" spans="1:6" x14ac:dyDescent="0.25">
      <c r="A551" t="s">
        <v>13</v>
      </c>
      <c r="B551">
        <v>2</v>
      </c>
      <c r="C551">
        <v>6</v>
      </c>
      <c r="D551">
        <v>17.3</v>
      </c>
      <c r="E551">
        <v>-62</v>
      </c>
      <c r="F551">
        <v>10.2171111111111</v>
      </c>
    </row>
    <row r="552" spans="1:6" x14ac:dyDescent="0.25">
      <c r="A552" t="s">
        <v>13</v>
      </c>
      <c r="B552">
        <v>2</v>
      </c>
      <c r="C552">
        <v>6</v>
      </c>
      <c r="D552">
        <v>17.649999999999999</v>
      </c>
      <c r="E552">
        <v>-62</v>
      </c>
      <c r="F552">
        <v>10.451777777777799</v>
      </c>
    </row>
    <row r="553" spans="1:6" x14ac:dyDescent="0.25">
      <c r="A553" t="s">
        <v>13</v>
      </c>
      <c r="B553">
        <v>2</v>
      </c>
      <c r="C553">
        <v>6</v>
      </c>
      <c r="D553">
        <v>18</v>
      </c>
      <c r="E553">
        <v>-62</v>
      </c>
      <c r="F553">
        <v>10.481111111111099</v>
      </c>
    </row>
    <row r="554" spans="1:6" x14ac:dyDescent="0.25">
      <c r="A554" t="s">
        <v>13</v>
      </c>
      <c r="B554">
        <v>2</v>
      </c>
      <c r="C554">
        <v>6</v>
      </c>
      <c r="D554">
        <v>18.350000000000001</v>
      </c>
      <c r="E554">
        <v>-62</v>
      </c>
      <c r="F554">
        <v>10.4151111111111</v>
      </c>
    </row>
    <row r="555" spans="1:6" x14ac:dyDescent="0.25">
      <c r="A555" t="s">
        <v>13</v>
      </c>
      <c r="B555">
        <v>2</v>
      </c>
      <c r="C555">
        <v>6</v>
      </c>
      <c r="D555">
        <v>18.7</v>
      </c>
      <c r="E555">
        <v>-62</v>
      </c>
      <c r="F555">
        <v>10.2171111111111</v>
      </c>
    </row>
    <row r="556" spans="1:6" x14ac:dyDescent="0.25">
      <c r="A556" t="s">
        <v>13</v>
      </c>
      <c r="B556">
        <v>2</v>
      </c>
      <c r="C556">
        <v>6</v>
      </c>
      <c r="D556">
        <v>19.05</v>
      </c>
      <c r="E556">
        <v>-62</v>
      </c>
      <c r="F556">
        <v>9.2931111111111093</v>
      </c>
    </row>
    <row r="557" spans="1:6" x14ac:dyDescent="0.25">
      <c r="A557" t="s">
        <v>13</v>
      </c>
      <c r="B557">
        <v>2</v>
      </c>
      <c r="C557">
        <v>6</v>
      </c>
      <c r="D557">
        <v>19.399999999999999</v>
      </c>
      <c r="E557">
        <v>-62</v>
      </c>
      <c r="F557">
        <v>2.6197777777777702</v>
      </c>
    </row>
    <row r="558" spans="1:6" x14ac:dyDescent="0.25">
      <c r="A558" t="s">
        <v>13</v>
      </c>
      <c r="B558">
        <v>2</v>
      </c>
      <c r="C558">
        <v>6</v>
      </c>
      <c r="D558">
        <v>19.75</v>
      </c>
      <c r="E558">
        <v>-62</v>
      </c>
      <c r="F558">
        <v>2.6564444444444399</v>
      </c>
    </row>
    <row r="559" spans="1:6" x14ac:dyDescent="0.25">
      <c r="A559" t="s">
        <v>13</v>
      </c>
      <c r="B559">
        <v>2</v>
      </c>
      <c r="C559">
        <v>6</v>
      </c>
      <c r="D559">
        <v>20.100000000000001</v>
      </c>
      <c r="E559">
        <v>-62</v>
      </c>
      <c r="F559">
        <v>3.0157777777777701</v>
      </c>
    </row>
    <row r="560" spans="1:6" x14ac:dyDescent="0.25">
      <c r="A560" t="s">
        <v>13</v>
      </c>
      <c r="B560">
        <v>3</v>
      </c>
      <c r="C560">
        <v>6</v>
      </c>
      <c r="D560">
        <v>24.9</v>
      </c>
      <c r="E560">
        <v>-62</v>
      </c>
      <c r="F560">
        <v>3.19873291097033</v>
      </c>
    </row>
    <row r="561" spans="1:6" x14ac:dyDescent="0.25">
      <c r="A561" t="s">
        <v>13</v>
      </c>
      <c r="B561">
        <v>3</v>
      </c>
      <c r="C561">
        <v>6</v>
      </c>
      <c r="D561">
        <v>25.25</v>
      </c>
      <c r="E561">
        <v>-62</v>
      </c>
      <c r="F561">
        <v>3.19873291097033</v>
      </c>
    </row>
    <row r="562" spans="1:6" x14ac:dyDescent="0.25">
      <c r="A562" t="s">
        <v>13</v>
      </c>
      <c r="B562">
        <v>3</v>
      </c>
      <c r="C562">
        <v>6</v>
      </c>
      <c r="D562">
        <v>25.6</v>
      </c>
      <c r="E562">
        <v>-62</v>
      </c>
      <c r="F562">
        <v>3.39679893297766</v>
      </c>
    </row>
    <row r="563" spans="1:6" x14ac:dyDescent="0.25">
      <c r="A563" t="s">
        <v>13</v>
      </c>
      <c r="B563">
        <v>3</v>
      </c>
      <c r="C563">
        <v>6</v>
      </c>
      <c r="D563">
        <v>25.95</v>
      </c>
      <c r="E563">
        <v>-62</v>
      </c>
      <c r="F563">
        <v>9.7129043014338201</v>
      </c>
    </row>
    <row r="564" spans="1:6" x14ac:dyDescent="0.25">
      <c r="A564" t="s">
        <v>13</v>
      </c>
      <c r="B564">
        <v>3</v>
      </c>
      <c r="C564">
        <v>6</v>
      </c>
      <c r="D564">
        <v>26.3</v>
      </c>
      <c r="E564">
        <v>-62</v>
      </c>
      <c r="F564">
        <v>10.409803267755899</v>
      </c>
    </row>
    <row r="565" spans="1:6" x14ac:dyDescent="0.25">
      <c r="A565" t="s">
        <v>13</v>
      </c>
      <c r="B565">
        <v>3</v>
      </c>
      <c r="C565">
        <v>6</v>
      </c>
      <c r="D565">
        <v>26.65</v>
      </c>
      <c r="E565">
        <v>-62</v>
      </c>
      <c r="F565">
        <v>10.578526175391801</v>
      </c>
    </row>
    <row r="566" spans="1:6" x14ac:dyDescent="0.25">
      <c r="A566" t="s">
        <v>13</v>
      </c>
      <c r="B566">
        <v>3</v>
      </c>
      <c r="C566">
        <v>6</v>
      </c>
      <c r="D566">
        <v>27</v>
      </c>
      <c r="E566">
        <v>-62</v>
      </c>
      <c r="F566">
        <v>10.578526175391801</v>
      </c>
    </row>
    <row r="567" spans="1:6" x14ac:dyDescent="0.25">
      <c r="A567" t="s">
        <v>13</v>
      </c>
      <c r="B567">
        <v>3</v>
      </c>
      <c r="C567">
        <v>6</v>
      </c>
      <c r="D567">
        <v>27.35</v>
      </c>
      <c r="E567">
        <v>-62</v>
      </c>
      <c r="F567">
        <v>10.475825275091699</v>
      </c>
    </row>
    <row r="568" spans="1:6" x14ac:dyDescent="0.25">
      <c r="A568" t="s">
        <v>13</v>
      </c>
      <c r="B568">
        <v>3</v>
      </c>
      <c r="C568">
        <v>6</v>
      </c>
      <c r="D568">
        <v>27.7</v>
      </c>
      <c r="E568">
        <v>-62</v>
      </c>
      <c r="F568">
        <v>10.277759253084399</v>
      </c>
    </row>
    <row r="569" spans="1:6" x14ac:dyDescent="0.25">
      <c r="A569" t="s">
        <v>13</v>
      </c>
      <c r="B569">
        <v>3</v>
      </c>
      <c r="C569">
        <v>6</v>
      </c>
      <c r="D569">
        <v>28.05</v>
      </c>
      <c r="E569">
        <v>-62</v>
      </c>
      <c r="F569">
        <v>9.1847282427475907</v>
      </c>
    </row>
    <row r="570" spans="1:6" x14ac:dyDescent="0.25">
      <c r="A570" t="s">
        <v>13</v>
      </c>
      <c r="B570">
        <v>3</v>
      </c>
      <c r="C570">
        <v>6</v>
      </c>
      <c r="D570">
        <v>28.4</v>
      </c>
      <c r="E570">
        <v>-62</v>
      </c>
      <c r="F570">
        <v>5.5241747249083097</v>
      </c>
    </row>
    <row r="571" spans="1:6" x14ac:dyDescent="0.25">
      <c r="A571" t="s">
        <v>13</v>
      </c>
      <c r="B571">
        <v>3</v>
      </c>
      <c r="C571">
        <v>6</v>
      </c>
      <c r="D571">
        <v>28.75</v>
      </c>
      <c r="E571">
        <v>-62</v>
      </c>
      <c r="F571">
        <v>3.06668889629877</v>
      </c>
    </row>
    <row r="572" spans="1:6" x14ac:dyDescent="0.25">
      <c r="A572" t="s">
        <v>13</v>
      </c>
      <c r="B572">
        <v>3</v>
      </c>
      <c r="C572">
        <v>6</v>
      </c>
      <c r="D572">
        <v>29.1</v>
      </c>
      <c r="E572">
        <v>-62</v>
      </c>
      <c r="F572">
        <v>3.10336778926309</v>
      </c>
    </row>
    <row r="573" spans="1:6" x14ac:dyDescent="0.25">
      <c r="A573" t="s">
        <v>13</v>
      </c>
      <c r="B573">
        <v>4</v>
      </c>
      <c r="C573">
        <v>6</v>
      </c>
      <c r="D573">
        <v>33.9</v>
      </c>
      <c r="E573">
        <v>-62</v>
      </c>
      <c r="F573">
        <v>3.34723612501391</v>
      </c>
    </row>
    <row r="574" spans="1:6" x14ac:dyDescent="0.25">
      <c r="A574" t="s">
        <v>13</v>
      </c>
      <c r="B574">
        <v>4</v>
      </c>
      <c r="C574">
        <v>6</v>
      </c>
      <c r="D574">
        <v>34.25</v>
      </c>
      <c r="E574">
        <v>-62</v>
      </c>
      <c r="F574">
        <v>3.45000556111667</v>
      </c>
    </row>
    <row r="575" spans="1:6" x14ac:dyDescent="0.25">
      <c r="A575" t="s">
        <v>13</v>
      </c>
      <c r="B575">
        <v>4</v>
      </c>
      <c r="C575">
        <v>6</v>
      </c>
      <c r="D575">
        <v>34.6</v>
      </c>
      <c r="E575">
        <v>-62</v>
      </c>
      <c r="F575">
        <v>7.0028917806695601</v>
      </c>
    </row>
    <row r="576" spans="1:6" x14ac:dyDescent="0.25">
      <c r="A576" t="s">
        <v>13</v>
      </c>
      <c r="B576">
        <v>4</v>
      </c>
      <c r="C576">
        <v>6</v>
      </c>
      <c r="D576">
        <v>34.950000000000003</v>
      </c>
      <c r="E576">
        <v>-62</v>
      </c>
      <c r="F576">
        <v>10.0199087976866</v>
      </c>
    </row>
    <row r="577" spans="1:6" x14ac:dyDescent="0.25">
      <c r="A577" t="s">
        <v>13</v>
      </c>
      <c r="B577">
        <v>4</v>
      </c>
      <c r="C577">
        <v>6</v>
      </c>
      <c r="D577">
        <v>35.299999999999997</v>
      </c>
      <c r="E577">
        <v>-62</v>
      </c>
      <c r="F577">
        <v>10.519074630185701</v>
      </c>
    </row>
    <row r="578" spans="1:6" x14ac:dyDescent="0.25">
      <c r="A578" t="s">
        <v>13</v>
      </c>
      <c r="B578">
        <v>4</v>
      </c>
      <c r="C578">
        <v>6</v>
      </c>
      <c r="D578">
        <v>35.65</v>
      </c>
      <c r="E578">
        <v>-62</v>
      </c>
      <c r="F578">
        <v>10.6145033922812</v>
      </c>
    </row>
    <row r="579" spans="1:6" x14ac:dyDescent="0.25">
      <c r="A579" t="s">
        <v>13</v>
      </c>
      <c r="B579">
        <v>4</v>
      </c>
      <c r="C579">
        <v>6</v>
      </c>
      <c r="D579">
        <v>36</v>
      </c>
      <c r="E579">
        <v>-62</v>
      </c>
      <c r="F579">
        <v>10.5851406962518</v>
      </c>
    </row>
    <row r="580" spans="1:6" x14ac:dyDescent="0.25">
      <c r="A580" t="s">
        <v>13</v>
      </c>
      <c r="B580">
        <v>4</v>
      </c>
      <c r="C580">
        <v>6</v>
      </c>
      <c r="D580">
        <v>36.35</v>
      </c>
      <c r="E580">
        <v>-62</v>
      </c>
      <c r="F580">
        <v>10.453008564119701</v>
      </c>
    </row>
    <row r="581" spans="1:6" x14ac:dyDescent="0.25">
      <c r="A581" t="s">
        <v>13</v>
      </c>
      <c r="B581">
        <v>4</v>
      </c>
      <c r="C581">
        <v>6</v>
      </c>
      <c r="D581">
        <v>36.700000000000003</v>
      </c>
      <c r="E581">
        <v>-62</v>
      </c>
      <c r="F581">
        <v>9.8877766655544495</v>
      </c>
    </row>
    <row r="582" spans="1:6" x14ac:dyDescent="0.25">
      <c r="A582" t="s">
        <v>13</v>
      </c>
      <c r="B582">
        <v>4</v>
      </c>
      <c r="C582">
        <v>6</v>
      </c>
      <c r="D582">
        <v>37.049999999999997</v>
      </c>
      <c r="E582">
        <v>-62</v>
      </c>
      <c r="F582">
        <v>2.9214770325881498</v>
      </c>
    </row>
    <row r="583" spans="1:6" x14ac:dyDescent="0.25">
      <c r="A583" t="s">
        <v>13</v>
      </c>
      <c r="B583">
        <v>4</v>
      </c>
      <c r="C583">
        <v>6</v>
      </c>
      <c r="D583">
        <v>37.4</v>
      </c>
      <c r="E583">
        <v>-62</v>
      </c>
      <c r="F583">
        <v>2.8554109665220802</v>
      </c>
    </row>
    <row r="584" spans="1:6" x14ac:dyDescent="0.25">
      <c r="A584" t="s">
        <v>13</v>
      </c>
      <c r="B584">
        <v>4</v>
      </c>
      <c r="C584">
        <v>6</v>
      </c>
      <c r="D584">
        <v>37.75</v>
      </c>
      <c r="E584">
        <v>-62</v>
      </c>
      <c r="F584">
        <v>2.9508397286175101</v>
      </c>
    </row>
    <row r="585" spans="1:6" x14ac:dyDescent="0.25">
      <c r="A585" t="s">
        <v>13</v>
      </c>
      <c r="B585">
        <v>4</v>
      </c>
      <c r="C585">
        <v>6</v>
      </c>
      <c r="D585">
        <v>38.1</v>
      </c>
      <c r="E585">
        <v>-62</v>
      </c>
      <c r="F585">
        <v>3.2151039928817702</v>
      </c>
    </row>
    <row r="586" spans="1:6" x14ac:dyDescent="0.25">
      <c r="A586" t="s">
        <v>13</v>
      </c>
      <c r="B586">
        <v>5</v>
      </c>
      <c r="C586">
        <v>6</v>
      </c>
      <c r="D586">
        <v>42.9</v>
      </c>
      <c r="E586">
        <v>-62</v>
      </c>
      <c r="F586">
        <v>3.3183222958057401</v>
      </c>
    </row>
    <row r="587" spans="1:6" x14ac:dyDescent="0.25">
      <c r="A587" t="s">
        <v>13</v>
      </c>
      <c r="B587">
        <v>5</v>
      </c>
      <c r="C587">
        <v>6</v>
      </c>
      <c r="D587">
        <v>43.25</v>
      </c>
      <c r="E587">
        <v>-62</v>
      </c>
      <c r="F587">
        <v>3.3183222958057401</v>
      </c>
    </row>
    <row r="588" spans="1:6" x14ac:dyDescent="0.25">
      <c r="A588" t="s">
        <v>13</v>
      </c>
      <c r="B588">
        <v>5</v>
      </c>
      <c r="C588">
        <v>6</v>
      </c>
      <c r="D588">
        <v>43.6</v>
      </c>
      <c r="E588">
        <v>-62</v>
      </c>
      <c r="F588">
        <v>8.4249448123620301</v>
      </c>
    </row>
    <row r="589" spans="1:6" x14ac:dyDescent="0.25">
      <c r="A589" t="s">
        <v>13</v>
      </c>
      <c r="B589">
        <v>5</v>
      </c>
      <c r="C589">
        <v>6</v>
      </c>
      <c r="D589">
        <v>43.95</v>
      </c>
      <c r="E589">
        <v>-62</v>
      </c>
      <c r="F589">
        <v>10.0057395143488</v>
      </c>
    </row>
    <row r="590" spans="1:6" x14ac:dyDescent="0.25">
      <c r="A590" t="s">
        <v>13</v>
      </c>
      <c r="B590">
        <v>5</v>
      </c>
      <c r="C590">
        <v>6</v>
      </c>
      <c r="D590">
        <v>44.3</v>
      </c>
      <c r="E590">
        <v>-62</v>
      </c>
      <c r="F590">
        <v>10.5302428256071</v>
      </c>
    </row>
    <row r="591" spans="1:6" x14ac:dyDescent="0.25">
      <c r="A591" t="s">
        <v>13</v>
      </c>
      <c r="B591">
        <v>5</v>
      </c>
      <c r="C591">
        <v>6</v>
      </c>
      <c r="D591">
        <v>44.65</v>
      </c>
      <c r="E591">
        <v>-62</v>
      </c>
      <c r="F591">
        <v>10.632229580573901</v>
      </c>
    </row>
    <row r="592" spans="1:6" x14ac:dyDescent="0.25">
      <c r="A592" t="s">
        <v>13</v>
      </c>
      <c r="B592">
        <v>5</v>
      </c>
      <c r="C592">
        <v>6</v>
      </c>
      <c r="D592">
        <v>45</v>
      </c>
      <c r="E592">
        <v>-62</v>
      </c>
      <c r="F592">
        <v>10.5666666666667</v>
      </c>
    </row>
    <row r="593" spans="1:6" x14ac:dyDescent="0.25">
      <c r="A593" t="s">
        <v>13</v>
      </c>
      <c r="B593">
        <v>5</v>
      </c>
      <c r="C593">
        <v>6</v>
      </c>
      <c r="D593">
        <v>45.35</v>
      </c>
      <c r="E593">
        <v>-62</v>
      </c>
      <c r="F593">
        <v>10.267991169977901</v>
      </c>
    </row>
    <row r="594" spans="1:6" x14ac:dyDescent="0.25">
      <c r="A594" t="s">
        <v>13</v>
      </c>
      <c r="B594">
        <v>5</v>
      </c>
      <c r="C594">
        <v>6</v>
      </c>
      <c r="D594">
        <v>45.7</v>
      </c>
      <c r="E594">
        <v>-62</v>
      </c>
      <c r="F594">
        <v>9.3792494481236197</v>
      </c>
    </row>
    <row r="595" spans="1:6" x14ac:dyDescent="0.25">
      <c r="A595" t="s">
        <v>13</v>
      </c>
      <c r="B595">
        <v>5</v>
      </c>
      <c r="C595">
        <v>6</v>
      </c>
      <c r="D595">
        <v>46.05</v>
      </c>
      <c r="E595">
        <v>-62</v>
      </c>
      <c r="F595">
        <v>7.7693156732891797</v>
      </c>
    </row>
    <row r="596" spans="1:6" x14ac:dyDescent="0.25">
      <c r="A596" t="s">
        <v>13</v>
      </c>
      <c r="B596">
        <v>5</v>
      </c>
      <c r="C596">
        <v>6</v>
      </c>
      <c r="D596">
        <v>46.4</v>
      </c>
      <c r="E596">
        <v>-62</v>
      </c>
      <c r="F596">
        <v>3.0269315673289201</v>
      </c>
    </row>
    <row r="597" spans="1:6" x14ac:dyDescent="0.25">
      <c r="A597" t="s">
        <v>13</v>
      </c>
      <c r="B597">
        <v>5</v>
      </c>
      <c r="C597">
        <v>6</v>
      </c>
      <c r="D597">
        <v>46.75</v>
      </c>
      <c r="E597">
        <v>-62</v>
      </c>
      <c r="F597">
        <v>2.9905077262693101</v>
      </c>
    </row>
    <row r="598" spans="1:6" x14ac:dyDescent="0.25">
      <c r="A598" t="s">
        <v>13</v>
      </c>
      <c r="B598">
        <v>5</v>
      </c>
      <c r="C598">
        <v>6</v>
      </c>
      <c r="D598">
        <v>47.1</v>
      </c>
      <c r="E598">
        <v>-62</v>
      </c>
      <c r="F598">
        <v>3.1580573951434898</v>
      </c>
    </row>
    <row r="599" spans="1:6" x14ac:dyDescent="0.25">
      <c r="A599" t="s">
        <v>13</v>
      </c>
      <c r="B599">
        <v>6</v>
      </c>
      <c r="C599">
        <v>6</v>
      </c>
      <c r="D599">
        <v>51.9</v>
      </c>
      <c r="E599">
        <v>-62</v>
      </c>
      <c r="F599">
        <v>3.4930046635576302</v>
      </c>
    </row>
    <row r="600" spans="1:6" x14ac:dyDescent="0.25">
      <c r="A600" t="s">
        <v>13</v>
      </c>
      <c r="B600">
        <v>6</v>
      </c>
      <c r="C600">
        <v>6</v>
      </c>
      <c r="D600">
        <v>52.25</v>
      </c>
      <c r="E600">
        <v>-62</v>
      </c>
      <c r="F600">
        <v>9.0772818121252499</v>
      </c>
    </row>
    <row r="601" spans="1:6" x14ac:dyDescent="0.25">
      <c r="A601" t="s">
        <v>13</v>
      </c>
      <c r="B601">
        <v>6</v>
      </c>
      <c r="C601">
        <v>6</v>
      </c>
      <c r="D601">
        <v>52.6</v>
      </c>
      <c r="E601">
        <v>-62</v>
      </c>
      <c r="F601">
        <v>10.205862758161199</v>
      </c>
    </row>
    <row r="602" spans="1:6" x14ac:dyDescent="0.25">
      <c r="A602" t="s">
        <v>13</v>
      </c>
      <c r="B602">
        <v>6</v>
      </c>
      <c r="C602">
        <v>6</v>
      </c>
      <c r="D602">
        <v>52.95</v>
      </c>
      <c r="E602">
        <v>-62</v>
      </c>
      <c r="F602">
        <v>10.6675549633578</v>
      </c>
    </row>
    <row r="603" spans="1:6" x14ac:dyDescent="0.25">
      <c r="A603" t="s">
        <v>13</v>
      </c>
      <c r="B603">
        <v>6</v>
      </c>
      <c r="C603">
        <v>6</v>
      </c>
      <c r="D603">
        <v>53.3</v>
      </c>
      <c r="E603">
        <v>-62</v>
      </c>
      <c r="F603">
        <v>10.872751499000699</v>
      </c>
    </row>
    <row r="604" spans="1:6" x14ac:dyDescent="0.25">
      <c r="A604" t="s">
        <v>13</v>
      </c>
      <c r="B604">
        <v>6</v>
      </c>
      <c r="C604">
        <v>6</v>
      </c>
      <c r="D604">
        <v>53.65</v>
      </c>
      <c r="E604">
        <v>-62</v>
      </c>
      <c r="F604">
        <v>10.938707528314501</v>
      </c>
    </row>
    <row r="605" spans="1:6" x14ac:dyDescent="0.25">
      <c r="A605" t="s">
        <v>13</v>
      </c>
      <c r="B605">
        <v>6</v>
      </c>
      <c r="C605">
        <v>6</v>
      </c>
      <c r="D605">
        <v>54</v>
      </c>
      <c r="E605">
        <v>-62</v>
      </c>
      <c r="F605">
        <v>10.799467021985301</v>
      </c>
    </row>
    <row r="606" spans="1:6" x14ac:dyDescent="0.25">
      <c r="A606" t="s">
        <v>13</v>
      </c>
      <c r="B606">
        <v>6</v>
      </c>
      <c r="C606">
        <v>6</v>
      </c>
      <c r="D606">
        <v>54.35</v>
      </c>
      <c r="E606">
        <v>-62</v>
      </c>
      <c r="F606">
        <v>10.601598934044</v>
      </c>
    </row>
    <row r="607" spans="1:6" x14ac:dyDescent="0.25">
      <c r="A607" t="s">
        <v>13</v>
      </c>
      <c r="B607">
        <v>6</v>
      </c>
      <c r="C607">
        <v>6</v>
      </c>
      <c r="D607">
        <v>54.7</v>
      </c>
      <c r="E607">
        <v>-62</v>
      </c>
      <c r="F607">
        <v>9.4070619586942108</v>
      </c>
    </row>
    <row r="608" spans="1:6" x14ac:dyDescent="0.25">
      <c r="A608" t="s">
        <v>13</v>
      </c>
      <c r="B608">
        <v>6</v>
      </c>
      <c r="C608">
        <v>6</v>
      </c>
      <c r="D608">
        <v>55.05</v>
      </c>
      <c r="E608">
        <v>-62</v>
      </c>
      <c r="F608">
        <v>8.3077948034643594</v>
      </c>
    </row>
    <row r="609" spans="1:6" x14ac:dyDescent="0.25">
      <c r="A609" t="s">
        <v>13</v>
      </c>
      <c r="B609">
        <v>6</v>
      </c>
      <c r="C609">
        <v>6</v>
      </c>
      <c r="D609">
        <v>55.4</v>
      </c>
      <c r="E609">
        <v>-62</v>
      </c>
      <c r="F609">
        <v>5.7501665556295798</v>
      </c>
    </row>
    <row r="610" spans="1:6" x14ac:dyDescent="0.25">
      <c r="A610" t="s">
        <v>13</v>
      </c>
      <c r="B610">
        <v>6</v>
      </c>
      <c r="C610">
        <v>6</v>
      </c>
      <c r="D610">
        <v>55.75</v>
      </c>
      <c r="E610">
        <v>-62</v>
      </c>
      <c r="F610">
        <v>3.2584943371085999</v>
      </c>
    </row>
    <row r="611" spans="1:6" x14ac:dyDescent="0.25">
      <c r="A611" t="s">
        <v>13</v>
      </c>
      <c r="B611">
        <v>6</v>
      </c>
      <c r="C611">
        <v>6</v>
      </c>
      <c r="D611">
        <v>56.1</v>
      </c>
      <c r="E611">
        <v>-62</v>
      </c>
      <c r="F611">
        <v>3.2951365756162598</v>
      </c>
    </row>
    <row r="612" spans="1:6" x14ac:dyDescent="0.25">
      <c r="A612" t="s">
        <v>13</v>
      </c>
      <c r="B612">
        <v>7</v>
      </c>
      <c r="C612">
        <v>6</v>
      </c>
      <c r="D612">
        <v>60.9</v>
      </c>
      <c r="E612">
        <v>-62</v>
      </c>
      <c r="F612">
        <v>9.49799732977303</v>
      </c>
    </row>
    <row r="613" spans="1:6" x14ac:dyDescent="0.25">
      <c r="A613" t="s">
        <v>13</v>
      </c>
      <c r="B613">
        <v>7</v>
      </c>
      <c r="C613">
        <v>6</v>
      </c>
      <c r="D613">
        <v>61.25</v>
      </c>
      <c r="E613">
        <v>-62</v>
      </c>
      <c r="F613">
        <v>10.1368491321762</v>
      </c>
    </row>
    <row r="614" spans="1:6" x14ac:dyDescent="0.25">
      <c r="A614" t="s">
        <v>13</v>
      </c>
      <c r="B614">
        <v>7</v>
      </c>
      <c r="C614">
        <v>6</v>
      </c>
      <c r="D614">
        <v>61.6</v>
      </c>
      <c r="E614">
        <v>-62</v>
      </c>
      <c r="F614">
        <v>10.643524699599499</v>
      </c>
    </row>
    <row r="615" spans="1:6" x14ac:dyDescent="0.25">
      <c r="A615" t="s">
        <v>13</v>
      </c>
      <c r="B615">
        <v>7</v>
      </c>
      <c r="C615">
        <v>6</v>
      </c>
      <c r="D615">
        <v>61.95</v>
      </c>
      <c r="E615">
        <v>-62</v>
      </c>
      <c r="F615">
        <v>10.915220293725</v>
      </c>
    </row>
    <row r="616" spans="1:6" x14ac:dyDescent="0.25">
      <c r="A616" t="s">
        <v>13</v>
      </c>
      <c r="B616">
        <v>7</v>
      </c>
      <c r="C616">
        <v>6</v>
      </c>
      <c r="D616">
        <v>62.3</v>
      </c>
      <c r="E616">
        <v>-62</v>
      </c>
      <c r="F616">
        <v>11.047396528704899</v>
      </c>
    </row>
    <row r="617" spans="1:6" x14ac:dyDescent="0.25">
      <c r="A617" t="s">
        <v>13</v>
      </c>
      <c r="B617">
        <v>7</v>
      </c>
      <c r="C617">
        <v>6</v>
      </c>
      <c r="D617">
        <v>62.65</v>
      </c>
      <c r="E617">
        <v>-62</v>
      </c>
      <c r="F617">
        <v>11.0841121495327</v>
      </c>
    </row>
    <row r="618" spans="1:6" x14ac:dyDescent="0.25">
      <c r="A618" t="s">
        <v>13</v>
      </c>
      <c r="B618">
        <v>7</v>
      </c>
      <c r="C618">
        <v>6</v>
      </c>
      <c r="D618">
        <v>63</v>
      </c>
      <c r="E618">
        <v>-62</v>
      </c>
      <c r="F618">
        <v>10.849132176235001</v>
      </c>
    </row>
    <row r="619" spans="1:6" x14ac:dyDescent="0.25">
      <c r="A619" t="s">
        <v>13</v>
      </c>
      <c r="B619">
        <v>7</v>
      </c>
      <c r="C619">
        <v>6</v>
      </c>
      <c r="D619">
        <v>63.35</v>
      </c>
      <c r="E619">
        <v>-62</v>
      </c>
      <c r="F619">
        <v>10.7096128170894</v>
      </c>
    </row>
    <row r="620" spans="1:6" x14ac:dyDescent="0.25">
      <c r="A620" t="s">
        <v>13</v>
      </c>
      <c r="B620">
        <v>7</v>
      </c>
      <c r="C620">
        <v>6</v>
      </c>
      <c r="D620">
        <v>63.7</v>
      </c>
      <c r="E620">
        <v>-62</v>
      </c>
      <c r="F620">
        <v>9.9679572763684892</v>
      </c>
    </row>
    <row r="621" spans="1:6" x14ac:dyDescent="0.25">
      <c r="A621" t="s">
        <v>13</v>
      </c>
      <c r="B621">
        <v>7</v>
      </c>
      <c r="C621">
        <v>6</v>
      </c>
      <c r="D621">
        <v>64.05</v>
      </c>
      <c r="E621">
        <v>-62</v>
      </c>
      <c r="F621">
        <v>6.7296395193591403</v>
      </c>
    </row>
    <row r="622" spans="1:6" x14ac:dyDescent="0.25">
      <c r="A622" t="s">
        <v>13</v>
      </c>
      <c r="B622">
        <v>7</v>
      </c>
      <c r="C622">
        <v>6</v>
      </c>
      <c r="D622">
        <v>64.400000000000006</v>
      </c>
      <c r="E622">
        <v>-62</v>
      </c>
      <c r="F622">
        <v>6.0907877169559397</v>
      </c>
    </row>
    <row r="623" spans="1:6" x14ac:dyDescent="0.25">
      <c r="A623" t="s">
        <v>13</v>
      </c>
      <c r="B623">
        <v>7</v>
      </c>
      <c r="C623">
        <v>6</v>
      </c>
      <c r="D623">
        <v>64.75</v>
      </c>
      <c r="E623">
        <v>-62</v>
      </c>
      <c r="F623">
        <v>3.4913217623497999</v>
      </c>
    </row>
    <row r="624" spans="1:6" x14ac:dyDescent="0.25">
      <c r="A624" t="s">
        <v>13</v>
      </c>
      <c r="B624">
        <v>7</v>
      </c>
      <c r="C624">
        <v>6</v>
      </c>
      <c r="D624">
        <v>65.099999999999994</v>
      </c>
      <c r="E624">
        <v>-62</v>
      </c>
      <c r="F624">
        <v>3.3885180240320398</v>
      </c>
    </row>
    <row r="625" spans="1:6" x14ac:dyDescent="0.25">
      <c r="A625" t="s">
        <v>13</v>
      </c>
      <c r="B625">
        <v>0</v>
      </c>
      <c r="C625">
        <v>5</v>
      </c>
      <c r="D625">
        <v>-2.1</v>
      </c>
      <c r="E625">
        <v>-53</v>
      </c>
      <c r="F625">
        <v>7.4782850161057404</v>
      </c>
    </row>
    <row r="626" spans="1:6" x14ac:dyDescent="0.25">
      <c r="A626" t="s">
        <v>13</v>
      </c>
      <c r="B626">
        <v>0</v>
      </c>
      <c r="C626">
        <v>5</v>
      </c>
      <c r="D626">
        <v>-1.75</v>
      </c>
      <c r="E626">
        <v>-53</v>
      </c>
      <c r="F626">
        <v>9.0251027435299296</v>
      </c>
    </row>
    <row r="627" spans="1:6" x14ac:dyDescent="0.25">
      <c r="A627" t="s">
        <v>13</v>
      </c>
      <c r="B627">
        <v>0</v>
      </c>
      <c r="C627">
        <v>5</v>
      </c>
      <c r="D627">
        <v>-1.4</v>
      </c>
      <c r="E627">
        <v>-53</v>
      </c>
      <c r="F627">
        <v>9.7361990447628592</v>
      </c>
    </row>
    <row r="628" spans="1:6" x14ac:dyDescent="0.25">
      <c r="A628" t="s">
        <v>13</v>
      </c>
      <c r="B628">
        <v>0</v>
      </c>
      <c r="C628">
        <v>5</v>
      </c>
      <c r="D628">
        <v>-1.05</v>
      </c>
      <c r="E628">
        <v>-53</v>
      </c>
      <c r="F628">
        <v>10.1393979784516</v>
      </c>
    </row>
    <row r="629" spans="1:6" x14ac:dyDescent="0.25">
      <c r="A629" t="s">
        <v>13</v>
      </c>
      <c r="B629">
        <v>0</v>
      </c>
      <c r="C629">
        <v>5</v>
      </c>
      <c r="D629">
        <v>-0.7</v>
      </c>
      <c r="E629">
        <v>-53</v>
      </c>
      <c r="F629">
        <v>10.4399644562923</v>
      </c>
    </row>
    <row r="630" spans="1:6" x14ac:dyDescent="0.25">
      <c r="A630" t="s">
        <v>13</v>
      </c>
      <c r="B630">
        <v>0</v>
      </c>
      <c r="C630">
        <v>5</v>
      </c>
      <c r="D630">
        <v>-0.35</v>
      </c>
      <c r="E630">
        <v>-53</v>
      </c>
      <c r="F630">
        <v>10.645229367988399</v>
      </c>
    </row>
    <row r="631" spans="1:6" x14ac:dyDescent="0.25">
      <c r="A631" t="s">
        <v>13</v>
      </c>
      <c r="B631">
        <v>0</v>
      </c>
      <c r="C631">
        <v>5</v>
      </c>
      <c r="D631" s="1">
        <v>-4.4408920985006301E-16</v>
      </c>
      <c r="E631">
        <v>-53</v>
      </c>
      <c r="F631">
        <v>10.711207375319299</v>
      </c>
    </row>
    <row r="632" spans="1:6" x14ac:dyDescent="0.25">
      <c r="A632" t="s">
        <v>13</v>
      </c>
      <c r="B632">
        <v>0</v>
      </c>
      <c r="C632">
        <v>5</v>
      </c>
      <c r="D632">
        <v>0.35</v>
      </c>
      <c r="E632">
        <v>-53</v>
      </c>
      <c r="F632">
        <v>10.645229367988399</v>
      </c>
    </row>
    <row r="633" spans="1:6" x14ac:dyDescent="0.25">
      <c r="A633" t="s">
        <v>13</v>
      </c>
      <c r="B633">
        <v>0</v>
      </c>
      <c r="C633">
        <v>5</v>
      </c>
      <c r="D633">
        <v>0.7</v>
      </c>
      <c r="E633">
        <v>-53</v>
      </c>
      <c r="F633">
        <v>10.5425969121404</v>
      </c>
    </row>
    <row r="634" spans="1:6" x14ac:dyDescent="0.25">
      <c r="A634" t="s">
        <v>13</v>
      </c>
      <c r="B634">
        <v>0</v>
      </c>
      <c r="C634">
        <v>5</v>
      </c>
      <c r="D634">
        <v>1.05</v>
      </c>
      <c r="E634">
        <v>-53</v>
      </c>
      <c r="F634">
        <v>10.373986448961499</v>
      </c>
    </row>
    <row r="635" spans="1:6" x14ac:dyDescent="0.25">
      <c r="A635" t="s">
        <v>13</v>
      </c>
      <c r="B635">
        <v>0</v>
      </c>
      <c r="C635">
        <v>5</v>
      </c>
      <c r="D635">
        <v>1.4</v>
      </c>
      <c r="E635">
        <v>-53</v>
      </c>
      <c r="F635">
        <v>9.6042430301010793</v>
      </c>
    </row>
    <row r="636" spans="1:6" x14ac:dyDescent="0.25">
      <c r="A636" t="s">
        <v>13</v>
      </c>
      <c r="B636">
        <v>0</v>
      </c>
      <c r="C636">
        <v>5</v>
      </c>
      <c r="D636">
        <v>1.75</v>
      </c>
      <c r="E636">
        <v>-53</v>
      </c>
      <c r="F636">
        <v>7.81550594246362</v>
      </c>
    </row>
    <row r="637" spans="1:6" x14ac:dyDescent="0.25">
      <c r="A637" t="s">
        <v>13</v>
      </c>
      <c r="B637">
        <v>0</v>
      </c>
      <c r="C637">
        <v>5</v>
      </c>
      <c r="D637">
        <v>2.1</v>
      </c>
      <c r="E637">
        <v>-53</v>
      </c>
      <c r="F637">
        <v>3.4023103409974498</v>
      </c>
    </row>
    <row r="638" spans="1:6" x14ac:dyDescent="0.25">
      <c r="A638" t="s">
        <v>13</v>
      </c>
      <c r="B638">
        <v>1</v>
      </c>
      <c r="C638">
        <v>5</v>
      </c>
      <c r="D638">
        <v>6.9</v>
      </c>
      <c r="E638">
        <v>-53</v>
      </c>
      <c r="F638">
        <v>3.20004450378282</v>
      </c>
    </row>
    <row r="639" spans="1:6" x14ac:dyDescent="0.25">
      <c r="A639" t="s">
        <v>13</v>
      </c>
      <c r="B639">
        <v>1</v>
      </c>
      <c r="C639">
        <v>5</v>
      </c>
      <c r="D639">
        <v>7.25</v>
      </c>
      <c r="E639">
        <v>-53</v>
      </c>
      <c r="F639">
        <v>3.67000445037828</v>
      </c>
    </row>
    <row r="640" spans="1:6" x14ac:dyDescent="0.25">
      <c r="A640" t="s">
        <v>13</v>
      </c>
      <c r="B640">
        <v>1</v>
      </c>
      <c r="C640">
        <v>5</v>
      </c>
      <c r="D640">
        <v>7.6</v>
      </c>
      <c r="E640">
        <v>-53</v>
      </c>
      <c r="F640">
        <v>3.6993769470404998</v>
      </c>
    </row>
    <row r="641" spans="1:6" x14ac:dyDescent="0.25">
      <c r="A641" t="s">
        <v>13</v>
      </c>
      <c r="B641">
        <v>1</v>
      </c>
      <c r="C641">
        <v>5</v>
      </c>
      <c r="D641">
        <v>7.95</v>
      </c>
      <c r="E641">
        <v>-53</v>
      </c>
      <c r="F641">
        <v>9.8015131286159303</v>
      </c>
    </row>
    <row r="642" spans="1:6" x14ac:dyDescent="0.25">
      <c r="A642" t="s">
        <v>13</v>
      </c>
      <c r="B642">
        <v>1</v>
      </c>
      <c r="C642">
        <v>5</v>
      </c>
      <c r="D642">
        <v>8.3000000000000007</v>
      </c>
      <c r="E642">
        <v>-53</v>
      </c>
      <c r="F642">
        <v>10.2053849577214</v>
      </c>
    </row>
    <row r="643" spans="1:6" x14ac:dyDescent="0.25">
      <c r="A643" t="s">
        <v>13</v>
      </c>
      <c r="B643">
        <v>1</v>
      </c>
      <c r="C643">
        <v>5</v>
      </c>
      <c r="D643">
        <v>8.65</v>
      </c>
      <c r="E643">
        <v>-53</v>
      </c>
      <c r="F643">
        <v>10.3669336893636</v>
      </c>
    </row>
    <row r="644" spans="1:6" x14ac:dyDescent="0.25">
      <c r="A644" t="s">
        <v>13</v>
      </c>
      <c r="B644">
        <v>1</v>
      </c>
      <c r="C644">
        <v>5</v>
      </c>
      <c r="D644">
        <v>9</v>
      </c>
      <c r="E644">
        <v>-53</v>
      </c>
      <c r="F644">
        <v>10.337561192701401</v>
      </c>
    </row>
    <row r="645" spans="1:6" x14ac:dyDescent="0.25">
      <c r="A645" t="s">
        <v>13</v>
      </c>
      <c r="B645">
        <v>1</v>
      </c>
      <c r="C645">
        <v>5</v>
      </c>
      <c r="D645">
        <v>9.35</v>
      </c>
      <c r="E645">
        <v>-53</v>
      </c>
      <c r="F645">
        <v>10.1025812194036</v>
      </c>
    </row>
    <row r="646" spans="1:6" x14ac:dyDescent="0.25">
      <c r="A646" t="s">
        <v>13</v>
      </c>
      <c r="B646">
        <v>1</v>
      </c>
      <c r="C646">
        <v>5</v>
      </c>
      <c r="D646">
        <v>9.6999999999999993</v>
      </c>
      <c r="E646">
        <v>-53</v>
      </c>
      <c r="F646">
        <v>9.93368936359591</v>
      </c>
    </row>
    <row r="647" spans="1:6" x14ac:dyDescent="0.25">
      <c r="A647" t="s">
        <v>13</v>
      </c>
      <c r="B647">
        <v>1</v>
      </c>
      <c r="C647">
        <v>5</v>
      </c>
      <c r="D647">
        <v>10.050000000000001</v>
      </c>
      <c r="E647">
        <v>-53</v>
      </c>
      <c r="F647">
        <v>9.3388963061860295</v>
      </c>
    </row>
    <row r="648" spans="1:6" x14ac:dyDescent="0.25">
      <c r="A648" t="s">
        <v>13</v>
      </c>
      <c r="B648">
        <v>1</v>
      </c>
      <c r="C648">
        <v>5</v>
      </c>
      <c r="D648">
        <v>10.4</v>
      </c>
      <c r="E648">
        <v>-53</v>
      </c>
      <c r="F648">
        <v>6.6659991099243401</v>
      </c>
    </row>
    <row r="649" spans="1:6" x14ac:dyDescent="0.25">
      <c r="A649" t="s">
        <v>13</v>
      </c>
      <c r="B649">
        <v>1</v>
      </c>
      <c r="C649">
        <v>5</v>
      </c>
      <c r="D649">
        <v>10.75</v>
      </c>
      <c r="E649">
        <v>-53</v>
      </c>
      <c r="F649">
        <v>4.1693368936359603</v>
      </c>
    </row>
    <row r="650" spans="1:6" x14ac:dyDescent="0.25">
      <c r="A650" t="s">
        <v>13</v>
      </c>
      <c r="B650">
        <v>1</v>
      </c>
      <c r="C650">
        <v>5</v>
      </c>
      <c r="D650">
        <v>11.1</v>
      </c>
      <c r="E650">
        <v>-53</v>
      </c>
      <c r="F650">
        <v>3.0384957721406298</v>
      </c>
    </row>
    <row r="651" spans="1:6" x14ac:dyDescent="0.25">
      <c r="A651" t="s">
        <v>13</v>
      </c>
      <c r="B651">
        <v>2</v>
      </c>
      <c r="C651">
        <v>5</v>
      </c>
      <c r="D651">
        <v>15.9</v>
      </c>
      <c r="E651">
        <v>-53</v>
      </c>
      <c r="F651">
        <v>3.2211111111111101</v>
      </c>
    </row>
    <row r="652" spans="1:6" x14ac:dyDescent="0.25">
      <c r="A652" t="s">
        <v>13</v>
      </c>
      <c r="B652">
        <v>2</v>
      </c>
      <c r="C652">
        <v>5</v>
      </c>
      <c r="D652">
        <v>16.25</v>
      </c>
      <c r="E652">
        <v>-53</v>
      </c>
      <c r="F652">
        <v>3.18444444444444</v>
      </c>
    </row>
    <row r="653" spans="1:6" x14ac:dyDescent="0.25">
      <c r="A653" t="s">
        <v>13</v>
      </c>
      <c r="B653">
        <v>2</v>
      </c>
      <c r="C653">
        <v>5</v>
      </c>
      <c r="D653">
        <v>16.600000000000001</v>
      </c>
      <c r="E653">
        <v>-53</v>
      </c>
      <c r="F653">
        <v>3.18444444444444</v>
      </c>
    </row>
    <row r="654" spans="1:6" x14ac:dyDescent="0.25">
      <c r="A654" t="s">
        <v>13</v>
      </c>
      <c r="B654">
        <v>2</v>
      </c>
      <c r="C654">
        <v>5</v>
      </c>
      <c r="D654">
        <v>16.95</v>
      </c>
      <c r="E654">
        <v>-53</v>
      </c>
      <c r="F654">
        <v>9.1244444444444408</v>
      </c>
    </row>
    <row r="655" spans="1:6" x14ac:dyDescent="0.25">
      <c r="A655" t="s">
        <v>13</v>
      </c>
      <c r="B655">
        <v>2</v>
      </c>
      <c r="C655">
        <v>5</v>
      </c>
      <c r="D655">
        <v>17.3</v>
      </c>
      <c r="E655">
        <v>-53</v>
      </c>
      <c r="F655">
        <v>10.253777777777801</v>
      </c>
    </row>
    <row r="656" spans="1:6" x14ac:dyDescent="0.25">
      <c r="A656" t="s">
        <v>13</v>
      </c>
      <c r="B656">
        <v>2</v>
      </c>
      <c r="C656">
        <v>5</v>
      </c>
      <c r="D656">
        <v>17.649999999999999</v>
      </c>
      <c r="E656">
        <v>-53</v>
      </c>
      <c r="F656">
        <v>10.5177777777778</v>
      </c>
    </row>
    <row r="657" spans="1:6" x14ac:dyDescent="0.25">
      <c r="A657" t="s">
        <v>13</v>
      </c>
      <c r="B657">
        <v>2</v>
      </c>
      <c r="C657">
        <v>5</v>
      </c>
      <c r="D657">
        <v>18</v>
      </c>
      <c r="E657">
        <v>-53</v>
      </c>
      <c r="F657">
        <v>10.5177777777778</v>
      </c>
    </row>
    <row r="658" spans="1:6" x14ac:dyDescent="0.25">
      <c r="A658" t="s">
        <v>13</v>
      </c>
      <c r="B658">
        <v>2</v>
      </c>
      <c r="C658">
        <v>5</v>
      </c>
      <c r="D658">
        <v>18.350000000000001</v>
      </c>
      <c r="E658">
        <v>-53</v>
      </c>
      <c r="F658">
        <v>10.4151111111111</v>
      </c>
    </row>
    <row r="659" spans="1:6" x14ac:dyDescent="0.25">
      <c r="A659" t="s">
        <v>13</v>
      </c>
      <c r="B659">
        <v>2</v>
      </c>
      <c r="C659">
        <v>5</v>
      </c>
      <c r="D659">
        <v>18.7</v>
      </c>
      <c r="E659">
        <v>-53</v>
      </c>
      <c r="F659">
        <v>10.283111111111101</v>
      </c>
    </row>
    <row r="660" spans="1:6" x14ac:dyDescent="0.25">
      <c r="A660" t="s">
        <v>13</v>
      </c>
      <c r="B660">
        <v>2</v>
      </c>
      <c r="C660">
        <v>5</v>
      </c>
      <c r="D660">
        <v>19.05</v>
      </c>
      <c r="E660">
        <v>-53</v>
      </c>
      <c r="F660">
        <v>9.3884444444444402</v>
      </c>
    </row>
    <row r="661" spans="1:6" x14ac:dyDescent="0.25">
      <c r="A661" t="s">
        <v>13</v>
      </c>
      <c r="B661">
        <v>2</v>
      </c>
      <c r="C661">
        <v>5</v>
      </c>
      <c r="D661">
        <v>19.399999999999999</v>
      </c>
      <c r="E661">
        <v>-53</v>
      </c>
      <c r="F661">
        <v>2.7884444444444401</v>
      </c>
    </row>
    <row r="662" spans="1:6" x14ac:dyDescent="0.25">
      <c r="A662" t="s">
        <v>13</v>
      </c>
      <c r="B662">
        <v>2</v>
      </c>
      <c r="C662">
        <v>5</v>
      </c>
      <c r="D662">
        <v>19.75</v>
      </c>
      <c r="E662">
        <v>-53</v>
      </c>
      <c r="F662">
        <v>2.8544444444444399</v>
      </c>
    </row>
    <row r="663" spans="1:6" x14ac:dyDescent="0.25">
      <c r="A663" t="s">
        <v>13</v>
      </c>
      <c r="B663">
        <v>2</v>
      </c>
      <c r="C663">
        <v>5</v>
      </c>
      <c r="D663">
        <v>20.100000000000001</v>
      </c>
      <c r="E663">
        <v>-53</v>
      </c>
      <c r="F663">
        <v>3.0157777777777701</v>
      </c>
    </row>
    <row r="664" spans="1:6" x14ac:dyDescent="0.25">
      <c r="A664" t="s">
        <v>13</v>
      </c>
      <c r="B664">
        <v>3</v>
      </c>
      <c r="C664">
        <v>5</v>
      </c>
      <c r="D664">
        <v>24.9</v>
      </c>
      <c r="E664">
        <v>-53</v>
      </c>
      <c r="F664">
        <v>3.19873291097033</v>
      </c>
    </row>
    <row r="665" spans="1:6" x14ac:dyDescent="0.25">
      <c r="A665" t="s">
        <v>13</v>
      </c>
      <c r="B665">
        <v>3</v>
      </c>
      <c r="C665">
        <v>5</v>
      </c>
      <c r="D665">
        <v>25.25</v>
      </c>
      <c r="E665">
        <v>-53</v>
      </c>
      <c r="F665">
        <v>3.19873291097033</v>
      </c>
    </row>
    <row r="666" spans="1:6" x14ac:dyDescent="0.25">
      <c r="A666" t="s">
        <v>13</v>
      </c>
      <c r="B666">
        <v>3</v>
      </c>
      <c r="C666">
        <v>5</v>
      </c>
      <c r="D666">
        <v>25.6</v>
      </c>
      <c r="E666">
        <v>-53</v>
      </c>
      <c r="F666">
        <v>3.36745581860621</v>
      </c>
    </row>
    <row r="667" spans="1:6" x14ac:dyDescent="0.25">
      <c r="A667" t="s">
        <v>13</v>
      </c>
      <c r="B667">
        <v>3</v>
      </c>
      <c r="C667">
        <v>5</v>
      </c>
      <c r="D667">
        <v>25.95</v>
      </c>
      <c r="E667">
        <v>-53</v>
      </c>
      <c r="F667">
        <v>9.6468822940980399</v>
      </c>
    </row>
    <row r="668" spans="1:6" x14ac:dyDescent="0.25">
      <c r="A668" t="s">
        <v>13</v>
      </c>
      <c r="B668">
        <v>3</v>
      </c>
      <c r="C668">
        <v>5</v>
      </c>
      <c r="D668">
        <v>26.3</v>
      </c>
      <c r="E668">
        <v>-53</v>
      </c>
      <c r="F668">
        <v>10.380460153384499</v>
      </c>
    </row>
    <row r="669" spans="1:6" x14ac:dyDescent="0.25">
      <c r="A669" t="s">
        <v>13</v>
      </c>
      <c r="B669">
        <v>3</v>
      </c>
      <c r="C669">
        <v>5</v>
      </c>
      <c r="D669">
        <v>26.65</v>
      </c>
      <c r="E669">
        <v>-53</v>
      </c>
      <c r="F669">
        <v>10.6078692897633</v>
      </c>
    </row>
    <row r="670" spans="1:6" x14ac:dyDescent="0.25">
      <c r="A670" t="s">
        <v>13</v>
      </c>
      <c r="B670">
        <v>3</v>
      </c>
      <c r="C670">
        <v>5</v>
      </c>
      <c r="D670">
        <v>27</v>
      </c>
      <c r="E670">
        <v>-53</v>
      </c>
      <c r="F670">
        <v>10.541847282427501</v>
      </c>
    </row>
    <row r="671" spans="1:6" x14ac:dyDescent="0.25">
      <c r="A671" t="s">
        <v>13</v>
      </c>
      <c r="B671">
        <v>3</v>
      </c>
      <c r="C671">
        <v>5</v>
      </c>
      <c r="D671">
        <v>27.35</v>
      </c>
      <c r="E671">
        <v>-53</v>
      </c>
      <c r="F671">
        <v>10.512504168055999</v>
      </c>
    </row>
    <row r="672" spans="1:6" x14ac:dyDescent="0.25">
      <c r="A672" t="s">
        <v>13</v>
      </c>
      <c r="B672">
        <v>3</v>
      </c>
      <c r="C672">
        <v>5</v>
      </c>
      <c r="D672">
        <v>27.7</v>
      </c>
      <c r="E672">
        <v>-53</v>
      </c>
      <c r="F672">
        <v>10.2484161387129</v>
      </c>
    </row>
    <row r="673" spans="1:6" x14ac:dyDescent="0.25">
      <c r="A673" t="s">
        <v>13</v>
      </c>
      <c r="B673">
        <v>3</v>
      </c>
      <c r="C673">
        <v>5</v>
      </c>
      <c r="D673">
        <v>28.05</v>
      </c>
      <c r="E673">
        <v>-53</v>
      </c>
      <c r="F673">
        <v>9.6102034011337203</v>
      </c>
    </row>
    <row r="674" spans="1:6" x14ac:dyDescent="0.25">
      <c r="A674" t="s">
        <v>13</v>
      </c>
      <c r="B674">
        <v>3</v>
      </c>
      <c r="C674">
        <v>5</v>
      </c>
      <c r="D674">
        <v>28.4</v>
      </c>
      <c r="E674">
        <v>-53</v>
      </c>
      <c r="F674">
        <v>7.3507835945315199</v>
      </c>
    </row>
    <row r="675" spans="1:6" x14ac:dyDescent="0.25">
      <c r="A675" t="s">
        <v>13</v>
      </c>
      <c r="B675">
        <v>3</v>
      </c>
      <c r="C675">
        <v>5</v>
      </c>
      <c r="D675">
        <v>28.75</v>
      </c>
      <c r="E675">
        <v>-53</v>
      </c>
      <c r="F675">
        <v>3.10336778926309</v>
      </c>
    </row>
    <row r="676" spans="1:6" x14ac:dyDescent="0.25">
      <c r="A676" t="s">
        <v>13</v>
      </c>
      <c r="B676">
        <v>3</v>
      </c>
      <c r="C676">
        <v>5</v>
      </c>
      <c r="D676">
        <v>29.1</v>
      </c>
      <c r="E676">
        <v>-53</v>
      </c>
      <c r="F676">
        <v>3.10336778926309</v>
      </c>
    </row>
    <row r="677" spans="1:6" x14ac:dyDescent="0.25">
      <c r="A677" t="s">
        <v>13</v>
      </c>
      <c r="B677">
        <v>4</v>
      </c>
      <c r="C677">
        <v>5</v>
      </c>
      <c r="D677">
        <v>33.9</v>
      </c>
      <c r="E677">
        <v>-53</v>
      </c>
      <c r="F677">
        <v>3.34723612501391</v>
      </c>
    </row>
    <row r="678" spans="1:6" x14ac:dyDescent="0.25">
      <c r="A678" t="s">
        <v>13</v>
      </c>
      <c r="B678">
        <v>4</v>
      </c>
      <c r="C678">
        <v>5</v>
      </c>
      <c r="D678">
        <v>34.25</v>
      </c>
      <c r="E678">
        <v>-53</v>
      </c>
      <c r="F678">
        <v>3.4133021910799699</v>
      </c>
    </row>
    <row r="679" spans="1:6" x14ac:dyDescent="0.25">
      <c r="A679" t="s">
        <v>13</v>
      </c>
      <c r="B679">
        <v>4</v>
      </c>
      <c r="C679">
        <v>5</v>
      </c>
      <c r="D679">
        <v>34.6</v>
      </c>
      <c r="E679">
        <v>-53</v>
      </c>
      <c r="F679">
        <v>3.6482037593148702</v>
      </c>
    </row>
    <row r="680" spans="1:6" x14ac:dyDescent="0.25">
      <c r="A680" t="s">
        <v>13</v>
      </c>
      <c r="B680">
        <v>4</v>
      </c>
      <c r="C680">
        <v>5</v>
      </c>
      <c r="D680">
        <v>34.950000000000003</v>
      </c>
      <c r="E680">
        <v>-53</v>
      </c>
      <c r="F680">
        <v>9.8217105994883802</v>
      </c>
    </row>
    <row r="681" spans="1:6" x14ac:dyDescent="0.25">
      <c r="A681" t="s">
        <v>13</v>
      </c>
      <c r="B681">
        <v>4</v>
      </c>
      <c r="C681">
        <v>5</v>
      </c>
      <c r="D681">
        <v>35.299999999999997</v>
      </c>
      <c r="E681">
        <v>-53</v>
      </c>
      <c r="F681">
        <v>10.519074630185701</v>
      </c>
    </row>
    <row r="682" spans="1:6" x14ac:dyDescent="0.25">
      <c r="A682" t="s">
        <v>13</v>
      </c>
      <c r="B682">
        <v>4</v>
      </c>
      <c r="C682">
        <v>5</v>
      </c>
      <c r="D682">
        <v>35.65</v>
      </c>
      <c r="E682">
        <v>-53</v>
      </c>
      <c r="F682">
        <v>10.6145033922812</v>
      </c>
    </row>
    <row r="683" spans="1:6" x14ac:dyDescent="0.25">
      <c r="A683" t="s">
        <v>13</v>
      </c>
      <c r="B683">
        <v>4</v>
      </c>
      <c r="C683">
        <v>5</v>
      </c>
      <c r="D683">
        <v>36</v>
      </c>
      <c r="E683">
        <v>-53</v>
      </c>
      <c r="F683">
        <v>10.548437326215099</v>
      </c>
    </row>
    <row r="684" spans="1:6" x14ac:dyDescent="0.25">
      <c r="A684" t="s">
        <v>13</v>
      </c>
      <c r="B684">
        <v>4</v>
      </c>
      <c r="C684">
        <v>5</v>
      </c>
      <c r="D684">
        <v>36.35</v>
      </c>
      <c r="E684">
        <v>-53</v>
      </c>
      <c r="F684">
        <v>10.548437326215099</v>
      </c>
    </row>
    <row r="685" spans="1:6" x14ac:dyDescent="0.25">
      <c r="A685" t="s">
        <v>13</v>
      </c>
      <c r="B685">
        <v>4</v>
      </c>
      <c r="C685">
        <v>5</v>
      </c>
      <c r="D685">
        <v>36.700000000000003</v>
      </c>
      <c r="E685">
        <v>-53</v>
      </c>
      <c r="F685">
        <v>10.1814036258481</v>
      </c>
    </row>
    <row r="686" spans="1:6" x14ac:dyDescent="0.25">
      <c r="A686" t="s">
        <v>13</v>
      </c>
      <c r="B686">
        <v>4</v>
      </c>
      <c r="C686">
        <v>5</v>
      </c>
      <c r="D686">
        <v>37.049999999999997</v>
      </c>
      <c r="E686">
        <v>-53</v>
      </c>
      <c r="F686">
        <v>7.8984540095651203</v>
      </c>
    </row>
    <row r="687" spans="1:6" x14ac:dyDescent="0.25">
      <c r="A687" t="s">
        <v>13</v>
      </c>
      <c r="B687">
        <v>4</v>
      </c>
      <c r="C687">
        <v>5</v>
      </c>
      <c r="D687">
        <v>37.4</v>
      </c>
      <c r="E687">
        <v>-53</v>
      </c>
      <c r="F687">
        <v>3.0169057946835798</v>
      </c>
    </row>
    <row r="688" spans="1:6" x14ac:dyDescent="0.25">
      <c r="A688" t="s">
        <v>13</v>
      </c>
      <c r="B688">
        <v>4</v>
      </c>
      <c r="C688">
        <v>5</v>
      </c>
      <c r="D688">
        <v>37.75</v>
      </c>
      <c r="E688">
        <v>-53</v>
      </c>
      <c r="F688">
        <v>2.9508397286175101</v>
      </c>
    </row>
    <row r="689" spans="1:6" x14ac:dyDescent="0.25">
      <c r="A689" t="s">
        <v>13</v>
      </c>
      <c r="B689">
        <v>4</v>
      </c>
      <c r="C689">
        <v>5</v>
      </c>
      <c r="D689">
        <v>38.1</v>
      </c>
      <c r="E689">
        <v>-53</v>
      </c>
      <c r="F689">
        <v>3.1490379268157098</v>
      </c>
    </row>
    <row r="690" spans="1:6" x14ac:dyDescent="0.25">
      <c r="A690" t="s">
        <v>13</v>
      </c>
      <c r="B690">
        <v>5</v>
      </c>
      <c r="C690">
        <v>5</v>
      </c>
      <c r="D690">
        <v>42.9</v>
      </c>
      <c r="E690">
        <v>-53</v>
      </c>
      <c r="F690">
        <v>3.35474613686534</v>
      </c>
    </row>
    <row r="691" spans="1:6" x14ac:dyDescent="0.25">
      <c r="A691" t="s">
        <v>13</v>
      </c>
      <c r="B691">
        <v>5</v>
      </c>
      <c r="C691">
        <v>5</v>
      </c>
      <c r="D691">
        <v>43.25</v>
      </c>
      <c r="E691">
        <v>-53</v>
      </c>
      <c r="F691">
        <v>3.3183222958057401</v>
      </c>
    </row>
    <row r="692" spans="1:6" x14ac:dyDescent="0.25">
      <c r="A692" t="s">
        <v>13</v>
      </c>
      <c r="B692">
        <v>5</v>
      </c>
      <c r="C692">
        <v>5</v>
      </c>
      <c r="D692">
        <v>43.6</v>
      </c>
      <c r="E692">
        <v>-53</v>
      </c>
      <c r="F692">
        <v>8.5269315673289192</v>
      </c>
    </row>
    <row r="693" spans="1:6" x14ac:dyDescent="0.25">
      <c r="A693" t="s">
        <v>13</v>
      </c>
      <c r="B693">
        <v>5</v>
      </c>
      <c r="C693">
        <v>5</v>
      </c>
      <c r="D693">
        <v>43.95</v>
      </c>
      <c r="E693">
        <v>-53</v>
      </c>
      <c r="F693">
        <v>10.0057395143488</v>
      </c>
    </row>
    <row r="694" spans="1:6" x14ac:dyDescent="0.25">
      <c r="A694" t="s">
        <v>13</v>
      </c>
      <c r="B694">
        <v>5</v>
      </c>
      <c r="C694">
        <v>5</v>
      </c>
      <c r="D694">
        <v>44.3</v>
      </c>
      <c r="E694">
        <v>-53</v>
      </c>
      <c r="F694">
        <v>10.5302428256071</v>
      </c>
    </row>
    <row r="695" spans="1:6" x14ac:dyDescent="0.25">
      <c r="A695" t="s">
        <v>13</v>
      </c>
      <c r="B695">
        <v>5</v>
      </c>
      <c r="C695">
        <v>5</v>
      </c>
      <c r="D695">
        <v>44.65</v>
      </c>
      <c r="E695">
        <v>-53</v>
      </c>
      <c r="F695">
        <v>10.632229580573901</v>
      </c>
    </row>
    <row r="696" spans="1:6" x14ac:dyDescent="0.25">
      <c r="A696" t="s">
        <v>13</v>
      </c>
      <c r="B696">
        <v>5</v>
      </c>
      <c r="C696">
        <v>5</v>
      </c>
      <c r="D696">
        <v>45</v>
      </c>
      <c r="E696">
        <v>-53</v>
      </c>
      <c r="F696">
        <v>10.5666666666667</v>
      </c>
    </row>
    <row r="697" spans="1:6" x14ac:dyDescent="0.25">
      <c r="A697" t="s">
        <v>13</v>
      </c>
      <c r="B697">
        <v>5</v>
      </c>
      <c r="C697">
        <v>5</v>
      </c>
      <c r="D697">
        <v>45.35</v>
      </c>
      <c r="E697">
        <v>-53</v>
      </c>
      <c r="F697">
        <v>10.3335540838852</v>
      </c>
    </row>
    <row r="698" spans="1:6" x14ac:dyDescent="0.25">
      <c r="A698" t="s">
        <v>13</v>
      </c>
      <c r="B698">
        <v>5</v>
      </c>
      <c r="C698">
        <v>5</v>
      </c>
      <c r="D698">
        <v>45.7</v>
      </c>
      <c r="E698">
        <v>-53</v>
      </c>
      <c r="F698">
        <v>9.7434878587196394</v>
      </c>
    </row>
    <row r="699" spans="1:6" x14ac:dyDescent="0.25">
      <c r="A699" t="s">
        <v>13</v>
      </c>
      <c r="B699">
        <v>5</v>
      </c>
      <c r="C699">
        <v>5</v>
      </c>
      <c r="D699">
        <v>46.05</v>
      </c>
      <c r="E699">
        <v>-53</v>
      </c>
      <c r="F699">
        <v>8.0315673289183191</v>
      </c>
    </row>
    <row r="700" spans="1:6" x14ac:dyDescent="0.25">
      <c r="A700" t="s">
        <v>13</v>
      </c>
      <c r="B700">
        <v>5</v>
      </c>
      <c r="C700">
        <v>5</v>
      </c>
      <c r="D700">
        <v>46.4</v>
      </c>
      <c r="E700">
        <v>-53</v>
      </c>
      <c r="F700">
        <v>3.28918322295806</v>
      </c>
    </row>
    <row r="701" spans="1:6" x14ac:dyDescent="0.25">
      <c r="A701" t="s">
        <v>13</v>
      </c>
      <c r="B701">
        <v>5</v>
      </c>
      <c r="C701">
        <v>5</v>
      </c>
      <c r="D701">
        <v>46.75</v>
      </c>
      <c r="E701">
        <v>-53</v>
      </c>
      <c r="F701">
        <v>2.9613686534216299</v>
      </c>
    </row>
    <row r="702" spans="1:6" x14ac:dyDescent="0.25">
      <c r="A702" t="s">
        <v>13</v>
      </c>
      <c r="B702">
        <v>5</v>
      </c>
      <c r="C702">
        <v>5</v>
      </c>
      <c r="D702">
        <v>47.1</v>
      </c>
      <c r="E702">
        <v>-53</v>
      </c>
      <c r="F702">
        <v>3.1216335540838802</v>
      </c>
    </row>
    <row r="703" spans="1:6" x14ac:dyDescent="0.25">
      <c r="A703" t="s">
        <v>13</v>
      </c>
      <c r="B703">
        <v>6</v>
      </c>
      <c r="C703">
        <v>5</v>
      </c>
      <c r="D703">
        <v>51.9</v>
      </c>
      <c r="E703">
        <v>-53</v>
      </c>
      <c r="F703">
        <v>3.7934710193204499</v>
      </c>
    </row>
    <row r="704" spans="1:6" x14ac:dyDescent="0.25">
      <c r="A704" t="s">
        <v>13</v>
      </c>
      <c r="B704">
        <v>6</v>
      </c>
      <c r="C704">
        <v>5</v>
      </c>
      <c r="D704">
        <v>52.25</v>
      </c>
      <c r="E704">
        <v>-53</v>
      </c>
      <c r="F704">
        <v>8.9453697534976708</v>
      </c>
    </row>
    <row r="705" spans="1:6" x14ac:dyDescent="0.25">
      <c r="A705" t="s">
        <v>13</v>
      </c>
      <c r="B705">
        <v>6</v>
      </c>
      <c r="C705">
        <v>5</v>
      </c>
      <c r="D705">
        <v>52.6</v>
      </c>
      <c r="E705">
        <v>-53</v>
      </c>
      <c r="F705">
        <v>10.205862758161199</v>
      </c>
    </row>
    <row r="706" spans="1:6" x14ac:dyDescent="0.25">
      <c r="A706" t="s">
        <v>13</v>
      </c>
      <c r="B706">
        <v>6</v>
      </c>
      <c r="C706">
        <v>5</v>
      </c>
      <c r="D706">
        <v>52.95</v>
      </c>
      <c r="E706">
        <v>-53</v>
      </c>
      <c r="F706">
        <v>10.6675549633578</v>
      </c>
    </row>
    <row r="707" spans="1:6" x14ac:dyDescent="0.25">
      <c r="A707" t="s">
        <v>13</v>
      </c>
      <c r="B707">
        <v>6</v>
      </c>
      <c r="C707">
        <v>5</v>
      </c>
      <c r="D707">
        <v>53.3</v>
      </c>
      <c r="E707">
        <v>-53</v>
      </c>
      <c r="F707">
        <v>10.836109260493</v>
      </c>
    </row>
    <row r="708" spans="1:6" x14ac:dyDescent="0.25">
      <c r="A708" t="s">
        <v>13</v>
      </c>
      <c r="B708">
        <v>6</v>
      </c>
      <c r="C708">
        <v>5</v>
      </c>
      <c r="D708">
        <v>53.65</v>
      </c>
      <c r="E708">
        <v>-53</v>
      </c>
      <c r="F708">
        <v>10.902065289806799</v>
      </c>
    </row>
    <row r="709" spans="1:6" x14ac:dyDescent="0.25">
      <c r="A709" t="s">
        <v>13</v>
      </c>
      <c r="B709">
        <v>6</v>
      </c>
      <c r="C709">
        <v>5</v>
      </c>
      <c r="D709">
        <v>54</v>
      </c>
      <c r="E709">
        <v>-53</v>
      </c>
      <c r="F709">
        <v>10.836109260493</v>
      </c>
    </row>
    <row r="710" spans="1:6" x14ac:dyDescent="0.25">
      <c r="A710" t="s">
        <v>13</v>
      </c>
      <c r="B710">
        <v>6</v>
      </c>
      <c r="C710">
        <v>5</v>
      </c>
      <c r="D710">
        <v>54.35</v>
      </c>
      <c r="E710">
        <v>-53</v>
      </c>
      <c r="F710">
        <v>10.601598934044</v>
      </c>
    </row>
    <row r="711" spans="1:6" x14ac:dyDescent="0.25">
      <c r="A711" t="s">
        <v>13</v>
      </c>
      <c r="B711">
        <v>6</v>
      </c>
      <c r="C711">
        <v>5</v>
      </c>
      <c r="D711">
        <v>54.7</v>
      </c>
      <c r="E711">
        <v>-53</v>
      </c>
      <c r="F711">
        <v>10.073950699533601</v>
      </c>
    </row>
    <row r="712" spans="1:6" x14ac:dyDescent="0.25">
      <c r="A712" t="s">
        <v>13</v>
      </c>
      <c r="B712">
        <v>6</v>
      </c>
      <c r="C712">
        <v>5</v>
      </c>
      <c r="D712">
        <v>55.05</v>
      </c>
      <c r="E712">
        <v>-53</v>
      </c>
      <c r="F712">
        <v>8.2784810126582293</v>
      </c>
    </row>
    <row r="713" spans="1:6" x14ac:dyDescent="0.25">
      <c r="A713" t="s">
        <v>13</v>
      </c>
      <c r="B713">
        <v>6</v>
      </c>
      <c r="C713">
        <v>5</v>
      </c>
      <c r="D713">
        <v>55.4</v>
      </c>
      <c r="E713">
        <v>-53</v>
      </c>
      <c r="F713">
        <v>6.9813457694870102</v>
      </c>
    </row>
    <row r="714" spans="1:6" x14ac:dyDescent="0.25">
      <c r="A714" t="s">
        <v>13</v>
      </c>
      <c r="B714">
        <v>6</v>
      </c>
      <c r="C714">
        <v>5</v>
      </c>
      <c r="D714">
        <v>55.75</v>
      </c>
      <c r="E714">
        <v>-53</v>
      </c>
      <c r="F714">
        <v>3.2584943371085999</v>
      </c>
    </row>
    <row r="715" spans="1:6" x14ac:dyDescent="0.25">
      <c r="A715" t="s">
        <v>13</v>
      </c>
      <c r="B715">
        <v>6</v>
      </c>
      <c r="C715">
        <v>5</v>
      </c>
      <c r="D715">
        <v>56.1</v>
      </c>
      <c r="E715">
        <v>-53</v>
      </c>
      <c r="F715">
        <v>3.2951365756162598</v>
      </c>
    </row>
    <row r="716" spans="1:6" x14ac:dyDescent="0.25">
      <c r="A716" t="s">
        <v>13</v>
      </c>
      <c r="B716">
        <v>7</v>
      </c>
      <c r="C716">
        <v>5</v>
      </c>
      <c r="D716">
        <v>60.9</v>
      </c>
      <c r="E716">
        <v>-53</v>
      </c>
      <c r="F716">
        <v>9.4319092122830401</v>
      </c>
    </row>
    <row r="717" spans="1:6" x14ac:dyDescent="0.25">
      <c r="A717" t="s">
        <v>13</v>
      </c>
      <c r="B717">
        <v>7</v>
      </c>
      <c r="C717">
        <v>5</v>
      </c>
      <c r="D717">
        <v>61.25</v>
      </c>
      <c r="E717">
        <v>-53</v>
      </c>
      <c r="F717">
        <v>10.1368491321762</v>
      </c>
    </row>
    <row r="718" spans="1:6" x14ac:dyDescent="0.25">
      <c r="A718" t="s">
        <v>13</v>
      </c>
      <c r="B718">
        <v>7</v>
      </c>
      <c r="C718">
        <v>5</v>
      </c>
      <c r="D718">
        <v>61.6</v>
      </c>
      <c r="E718">
        <v>-53</v>
      </c>
      <c r="F718">
        <v>10.577436582109501</v>
      </c>
    </row>
    <row r="719" spans="1:6" x14ac:dyDescent="0.25">
      <c r="A719" t="s">
        <v>13</v>
      </c>
      <c r="B719">
        <v>7</v>
      </c>
      <c r="C719">
        <v>5</v>
      </c>
      <c r="D719">
        <v>61.95</v>
      </c>
      <c r="E719">
        <v>-53</v>
      </c>
      <c r="F719">
        <v>10.849132176235001</v>
      </c>
    </row>
    <row r="720" spans="1:6" x14ac:dyDescent="0.25">
      <c r="A720" t="s">
        <v>13</v>
      </c>
      <c r="B720">
        <v>7</v>
      </c>
      <c r="C720">
        <v>5</v>
      </c>
      <c r="D720">
        <v>62.3</v>
      </c>
      <c r="E720">
        <v>-53</v>
      </c>
      <c r="F720">
        <v>11.0180240320427</v>
      </c>
    </row>
    <row r="721" spans="1:6" x14ac:dyDescent="0.25">
      <c r="A721" t="s">
        <v>13</v>
      </c>
      <c r="B721">
        <v>7</v>
      </c>
      <c r="C721">
        <v>5</v>
      </c>
      <c r="D721">
        <v>62.65</v>
      </c>
      <c r="E721">
        <v>-53</v>
      </c>
      <c r="F721">
        <v>10.951935914552701</v>
      </c>
    </row>
    <row r="722" spans="1:6" x14ac:dyDescent="0.25">
      <c r="A722" t="s">
        <v>13</v>
      </c>
      <c r="B722">
        <v>7</v>
      </c>
      <c r="C722">
        <v>5</v>
      </c>
      <c r="D722">
        <v>63</v>
      </c>
      <c r="E722">
        <v>-53</v>
      </c>
      <c r="F722">
        <v>10.849132176235001</v>
      </c>
    </row>
    <row r="723" spans="1:6" x14ac:dyDescent="0.25">
      <c r="A723" t="s">
        <v>13</v>
      </c>
      <c r="B723">
        <v>7</v>
      </c>
      <c r="C723">
        <v>5</v>
      </c>
      <c r="D723">
        <v>63.35</v>
      </c>
      <c r="E723">
        <v>-53</v>
      </c>
      <c r="F723">
        <v>10.680240320427201</v>
      </c>
    </row>
    <row r="724" spans="1:6" x14ac:dyDescent="0.25">
      <c r="A724" t="s">
        <v>13</v>
      </c>
      <c r="B724">
        <v>7</v>
      </c>
      <c r="C724">
        <v>5</v>
      </c>
      <c r="D724">
        <v>63.7</v>
      </c>
      <c r="E724">
        <v>-53</v>
      </c>
      <c r="F724">
        <v>10.107476635514001</v>
      </c>
    </row>
    <row r="725" spans="1:6" x14ac:dyDescent="0.25">
      <c r="A725" t="s">
        <v>13</v>
      </c>
      <c r="B725">
        <v>7</v>
      </c>
      <c r="C725">
        <v>5</v>
      </c>
      <c r="D725">
        <v>64.05</v>
      </c>
      <c r="E725">
        <v>-53</v>
      </c>
      <c r="F725">
        <v>8.1835781041388493</v>
      </c>
    </row>
    <row r="726" spans="1:6" x14ac:dyDescent="0.25">
      <c r="A726" t="s">
        <v>13</v>
      </c>
      <c r="B726">
        <v>7</v>
      </c>
      <c r="C726">
        <v>5</v>
      </c>
      <c r="D726">
        <v>64.400000000000006</v>
      </c>
      <c r="E726">
        <v>-53</v>
      </c>
      <c r="F726">
        <v>6.1935914552736904</v>
      </c>
    </row>
    <row r="727" spans="1:6" x14ac:dyDescent="0.25">
      <c r="A727" t="s">
        <v>13</v>
      </c>
      <c r="B727">
        <v>7</v>
      </c>
      <c r="C727">
        <v>5</v>
      </c>
      <c r="D727">
        <v>64.75</v>
      </c>
      <c r="E727">
        <v>-53</v>
      </c>
      <c r="F727">
        <v>3.52803738317757</v>
      </c>
    </row>
    <row r="728" spans="1:6" x14ac:dyDescent="0.25">
      <c r="A728" t="s">
        <v>13</v>
      </c>
      <c r="B728">
        <v>7</v>
      </c>
      <c r="C728">
        <v>5</v>
      </c>
      <c r="D728">
        <v>65.099999999999994</v>
      </c>
      <c r="E728">
        <v>-53</v>
      </c>
      <c r="F728">
        <v>3.3885180240320398</v>
      </c>
    </row>
    <row r="729" spans="1:6" x14ac:dyDescent="0.25">
      <c r="A729" t="s">
        <v>13</v>
      </c>
      <c r="B729">
        <v>0</v>
      </c>
      <c r="C729">
        <v>4</v>
      </c>
      <c r="D729">
        <v>-2.1</v>
      </c>
      <c r="E729">
        <v>-44</v>
      </c>
      <c r="F729">
        <v>7.0091080750860799</v>
      </c>
    </row>
    <row r="730" spans="1:6" x14ac:dyDescent="0.25">
      <c r="A730" t="s">
        <v>13</v>
      </c>
      <c r="B730">
        <v>0</v>
      </c>
      <c r="C730">
        <v>4</v>
      </c>
      <c r="D730">
        <v>-1.75</v>
      </c>
      <c r="E730">
        <v>-44</v>
      </c>
      <c r="F730">
        <v>8.68788181717205</v>
      </c>
    </row>
    <row r="731" spans="1:6" x14ac:dyDescent="0.25">
      <c r="A731" t="s">
        <v>13</v>
      </c>
      <c r="B731">
        <v>0</v>
      </c>
      <c r="C731">
        <v>4</v>
      </c>
      <c r="D731">
        <v>-1.4</v>
      </c>
      <c r="E731">
        <v>-44</v>
      </c>
      <c r="F731">
        <v>9.5309341330667507</v>
      </c>
    </row>
    <row r="732" spans="1:6" x14ac:dyDescent="0.25">
      <c r="A732" t="s">
        <v>13</v>
      </c>
      <c r="B732">
        <v>0</v>
      </c>
      <c r="C732">
        <v>4</v>
      </c>
      <c r="D732">
        <v>-1.05</v>
      </c>
      <c r="E732">
        <v>-44</v>
      </c>
      <c r="F732">
        <v>10.0367655226036</v>
      </c>
    </row>
    <row r="733" spans="1:6" x14ac:dyDescent="0.25">
      <c r="A733" t="s">
        <v>13</v>
      </c>
      <c r="B733">
        <v>0</v>
      </c>
      <c r="C733">
        <v>4</v>
      </c>
      <c r="D733">
        <v>-0.7</v>
      </c>
      <c r="E733">
        <v>-44</v>
      </c>
      <c r="F733">
        <v>10.373986448961499</v>
      </c>
    </row>
    <row r="734" spans="1:6" x14ac:dyDescent="0.25">
      <c r="A734" t="s">
        <v>13</v>
      </c>
      <c r="B734">
        <v>0</v>
      </c>
      <c r="C734">
        <v>4</v>
      </c>
      <c r="D734">
        <v>-0.35</v>
      </c>
      <c r="E734">
        <v>-44</v>
      </c>
      <c r="F734">
        <v>10.579251360657601</v>
      </c>
    </row>
    <row r="735" spans="1:6" x14ac:dyDescent="0.25">
      <c r="A735" t="s">
        <v>13</v>
      </c>
      <c r="B735">
        <v>0</v>
      </c>
      <c r="C735">
        <v>4</v>
      </c>
      <c r="D735" s="1">
        <v>-4.4408920985006301E-16</v>
      </c>
      <c r="E735">
        <v>-44</v>
      </c>
      <c r="F735">
        <v>10.6085749194713</v>
      </c>
    </row>
    <row r="736" spans="1:6" x14ac:dyDescent="0.25">
      <c r="A736" t="s">
        <v>13</v>
      </c>
      <c r="B736">
        <v>0</v>
      </c>
      <c r="C736">
        <v>4</v>
      </c>
      <c r="D736">
        <v>0.35</v>
      </c>
      <c r="E736">
        <v>-44</v>
      </c>
      <c r="F736">
        <v>10.6085749194713</v>
      </c>
    </row>
    <row r="737" spans="1:6" x14ac:dyDescent="0.25">
      <c r="A737" t="s">
        <v>13</v>
      </c>
      <c r="B737">
        <v>0</v>
      </c>
      <c r="C737">
        <v>4</v>
      </c>
      <c r="D737">
        <v>0.7</v>
      </c>
      <c r="E737">
        <v>-44</v>
      </c>
      <c r="F737">
        <v>10.579251360657601</v>
      </c>
    </row>
    <row r="738" spans="1:6" x14ac:dyDescent="0.25">
      <c r="A738" t="s">
        <v>13</v>
      </c>
      <c r="B738">
        <v>0</v>
      </c>
      <c r="C738">
        <v>4</v>
      </c>
      <c r="D738">
        <v>1.05</v>
      </c>
      <c r="E738">
        <v>-44</v>
      </c>
      <c r="F738">
        <v>10.410640897478601</v>
      </c>
    </row>
    <row r="739" spans="1:6" x14ac:dyDescent="0.25">
      <c r="A739" t="s">
        <v>13</v>
      </c>
      <c r="B739">
        <v>0</v>
      </c>
      <c r="C739">
        <v>4</v>
      </c>
      <c r="D739">
        <v>1.4</v>
      </c>
      <c r="E739">
        <v>-44</v>
      </c>
      <c r="F739">
        <v>9.7361990447628592</v>
      </c>
    </row>
    <row r="740" spans="1:6" x14ac:dyDescent="0.25">
      <c r="A740" t="s">
        <v>13</v>
      </c>
      <c r="B740">
        <v>0</v>
      </c>
      <c r="C740">
        <v>4</v>
      </c>
      <c r="D740">
        <v>1.75</v>
      </c>
      <c r="E740">
        <v>-44</v>
      </c>
      <c r="F740">
        <v>7.9841164056425598</v>
      </c>
    </row>
    <row r="741" spans="1:6" x14ac:dyDescent="0.25">
      <c r="A741" t="s">
        <v>13</v>
      </c>
      <c r="B741">
        <v>0</v>
      </c>
      <c r="C741">
        <v>4</v>
      </c>
      <c r="D741">
        <v>2.1</v>
      </c>
      <c r="E741">
        <v>-44</v>
      </c>
      <c r="F741">
        <v>3.43896478951461</v>
      </c>
    </row>
    <row r="742" spans="1:6" x14ac:dyDescent="0.25">
      <c r="A742" t="s">
        <v>13</v>
      </c>
      <c r="B742">
        <v>1</v>
      </c>
      <c r="C742">
        <v>4</v>
      </c>
      <c r="D742">
        <v>6.9</v>
      </c>
      <c r="E742">
        <v>-44</v>
      </c>
      <c r="F742">
        <v>3.1339563862928399</v>
      </c>
    </row>
    <row r="743" spans="1:6" x14ac:dyDescent="0.25">
      <c r="A743" t="s">
        <v>13</v>
      </c>
      <c r="B743">
        <v>1</v>
      </c>
      <c r="C743">
        <v>4</v>
      </c>
      <c r="D743">
        <v>7.25</v>
      </c>
      <c r="E743">
        <v>-44</v>
      </c>
      <c r="F743">
        <v>3.1339563862928399</v>
      </c>
    </row>
    <row r="744" spans="1:6" x14ac:dyDescent="0.25">
      <c r="A744" t="s">
        <v>13</v>
      </c>
      <c r="B744">
        <v>1</v>
      </c>
      <c r="C744">
        <v>4</v>
      </c>
      <c r="D744">
        <v>7.6</v>
      </c>
      <c r="E744">
        <v>-44</v>
      </c>
      <c r="F744">
        <v>3.2661326212728099</v>
      </c>
    </row>
    <row r="745" spans="1:6" x14ac:dyDescent="0.25">
      <c r="A745" t="s">
        <v>13</v>
      </c>
      <c r="B745">
        <v>1</v>
      </c>
      <c r="C745">
        <v>4</v>
      </c>
      <c r="D745">
        <v>7.95</v>
      </c>
      <c r="E745">
        <v>-44</v>
      </c>
      <c r="F745">
        <v>9.6032487761459695</v>
      </c>
    </row>
    <row r="746" spans="1:6" x14ac:dyDescent="0.25">
      <c r="A746" t="s">
        <v>13</v>
      </c>
      <c r="B746">
        <v>1</v>
      </c>
      <c r="C746">
        <v>4</v>
      </c>
      <c r="D746">
        <v>8.3000000000000007</v>
      </c>
      <c r="E746">
        <v>-44</v>
      </c>
      <c r="F746">
        <v>10.036493101913701</v>
      </c>
    </row>
    <row r="747" spans="1:6" x14ac:dyDescent="0.25">
      <c r="A747" t="s">
        <v>13</v>
      </c>
      <c r="B747">
        <v>1</v>
      </c>
      <c r="C747">
        <v>4</v>
      </c>
      <c r="D747">
        <v>8.65</v>
      </c>
      <c r="E747">
        <v>-44</v>
      </c>
      <c r="F747">
        <v>10.3008455718736</v>
      </c>
    </row>
    <row r="748" spans="1:6" x14ac:dyDescent="0.25">
      <c r="A748" t="s">
        <v>13</v>
      </c>
      <c r="B748">
        <v>1</v>
      </c>
      <c r="C748">
        <v>4</v>
      </c>
      <c r="D748">
        <v>9</v>
      </c>
      <c r="E748">
        <v>-44</v>
      </c>
      <c r="F748">
        <v>10.2714730752114</v>
      </c>
    </row>
    <row r="749" spans="1:6" x14ac:dyDescent="0.25">
      <c r="A749" t="s">
        <v>13</v>
      </c>
      <c r="B749">
        <v>1</v>
      </c>
      <c r="C749">
        <v>4</v>
      </c>
      <c r="D749">
        <v>9.35</v>
      </c>
      <c r="E749">
        <v>-44</v>
      </c>
      <c r="F749">
        <v>10.036493101913701</v>
      </c>
    </row>
    <row r="750" spans="1:6" x14ac:dyDescent="0.25">
      <c r="A750" t="s">
        <v>13</v>
      </c>
      <c r="B750">
        <v>1</v>
      </c>
      <c r="C750">
        <v>4</v>
      </c>
      <c r="D750">
        <v>9.6999999999999993</v>
      </c>
      <c r="E750">
        <v>-44</v>
      </c>
      <c r="F750">
        <v>9.8382287494437008</v>
      </c>
    </row>
    <row r="751" spans="1:6" x14ac:dyDescent="0.25">
      <c r="A751" t="s">
        <v>13</v>
      </c>
      <c r="B751">
        <v>1</v>
      </c>
      <c r="C751">
        <v>4</v>
      </c>
      <c r="D751">
        <v>10.050000000000001</v>
      </c>
      <c r="E751">
        <v>-44</v>
      </c>
      <c r="F751">
        <v>9.3682688028482399</v>
      </c>
    </row>
    <row r="752" spans="1:6" x14ac:dyDescent="0.25">
      <c r="A752" t="s">
        <v>13</v>
      </c>
      <c r="B752">
        <v>1</v>
      </c>
      <c r="C752">
        <v>4</v>
      </c>
      <c r="D752">
        <v>10.4</v>
      </c>
      <c r="E752">
        <v>-44</v>
      </c>
      <c r="F752">
        <v>7.33422340898976</v>
      </c>
    </row>
    <row r="753" spans="1:6" x14ac:dyDescent="0.25">
      <c r="A753" t="s">
        <v>13</v>
      </c>
      <c r="B753">
        <v>1</v>
      </c>
      <c r="C753">
        <v>4</v>
      </c>
      <c r="D753">
        <v>10.75</v>
      </c>
      <c r="E753">
        <v>-44</v>
      </c>
      <c r="F753">
        <v>4.4997774810858902</v>
      </c>
    </row>
    <row r="754" spans="1:6" x14ac:dyDescent="0.25">
      <c r="A754" t="s">
        <v>13</v>
      </c>
      <c r="B754">
        <v>1</v>
      </c>
      <c r="C754">
        <v>4</v>
      </c>
      <c r="D754">
        <v>11.1</v>
      </c>
      <c r="E754">
        <v>-44</v>
      </c>
      <c r="F754">
        <v>3.0017801513128601</v>
      </c>
    </row>
    <row r="755" spans="1:6" x14ac:dyDescent="0.25">
      <c r="A755" t="s">
        <v>13</v>
      </c>
      <c r="B755">
        <v>2</v>
      </c>
      <c r="C755">
        <v>4</v>
      </c>
      <c r="D755">
        <v>15.9</v>
      </c>
      <c r="E755">
        <v>-44</v>
      </c>
      <c r="F755">
        <v>3.1477777777777698</v>
      </c>
    </row>
    <row r="756" spans="1:6" x14ac:dyDescent="0.25">
      <c r="A756" t="s">
        <v>13</v>
      </c>
      <c r="B756">
        <v>2</v>
      </c>
      <c r="C756">
        <v>4</v>
      </c>
      <c r="D756">
        <v>16.25</v>
      </c>
      <c r="E756">
        <v>-44</v>
      </c>
      <c r="F756">
        <v>3.1477777777777698</v>
      </c>
    </row>
    <row r="757" spans="1:6" x14ac:dyDescent="0.25">
      <c r="A757" t="s">
        <v>13</v>
      </c>
      <c r="B757">
        <v>2</v>
      </c>
      <c r="C757">
        <v>4</v>
      </c>
      <c r="D757">
        <v>16.600000000000001</v>
      </c>
      <c r="E757">
        <v>-44</v>
      </c>
      <c r="F757">
        <v>3.1184444444444401</v>
      </c>
    </row>
    <row r="758" spans="1:6" x14ac:dyDescent="0.25">
      <c r="A758" t="s">
        <v>13</v>
      </c>
      <c r="B758">
        <v>2</v>
      </c>
      <c r="C758">
        <v>4</v>
      </c>
      <c r="D758">
        <v>16.95</v>
      </c>
      <c r="E758">
        <v>-44</v>
      </c>
      <c r="F758">
        <v>4.0497777777777699</v>
      </c>
    </row>
    <row r="759" spans="1:6" x14ac:dyDescent="0.25">
      <c r="A759" t="s">
        <v>13</v>
      </c>
      <c r="B759">
        <v>2</v>
      </c>
      <c r="C759">
        <v>4</v>
      </c>
      <c r="D759">
        <v>17.3</v>
      </c>
      <c r="E759">
        <v>-44</v>
      </c>
      <c r="F759">
        <v>10.151111111111099</v>
      </c>
    </row>
    <row r="760" spans="1:6" x14ac:dyDescent="0.25">
      <c r="A760" t="s">
        <v>13</v>
      </c>
      <c r="B760">
        <v>2</v>
      </c>
      <c r="C760">
        <v>4</v>
      </c>
      <c r="D760">
        <v>17.649999999999999</v>
      </c>
      <c r="E760">
        <v>-44</v>
      </c>
      <c r="F760">
        <v>10.451777777777799</v>
      </c>
    </row>
    <row r="761" spans="1:6" x14ac:dyDescent="0.25">
      <c r="A761" t="s">
        <v>13</v>
      </c>
      <c r="B761">
        <v>2</v>
      </c>
      <c r="C761">
        <v>4</v>
      </c>
      <c r="D761">
        <v>18</v>
      </c>
      <c r="E761">
        <v>-44</v>
      </c>
      <c r="F761">
        <v>10.5177777777778</v>
      </c>
    </row>
    <row r="762" spans="1:6" x14ac:dyDescent="0.25">
      <c r="A762" t="s">
        <v>13</v>
      </c>
      <c r="B762">
        <v>2</v>
      </c>
      <c r="C762">
        <v>4</v>
      </c>
      <c r="D762">
        <v>18.350000000000001</v>
      </c>
      <c r="E762">
        <v>-44</v>
      </c>
      <c r="F762">
        <v>10.4151111111111</v>
      </c>
    </row>
    <row r="763" spans="1:6" x14ac:dyDescent="0.25">
      <c r="A763" t="s">
        <v>13</v>
      </c>
      <c r="B763">
        <v>2</v>
      </c>
      <c r="C763">
        <v>4</v>
      </c>
      <c r="D763">
        <v>18.7</v>
      </c>
      <c r="E763">
        <v>-44</v>
      </c>
      <c r="F763">
        <v>10.3197777777778</v>
      </c>
    </row>
    <row r="764" spans="1:6" x14ac:dyDescent="0.25">
      <c r="A764" t="s">
        <v>13</v>
      </c>
      <c r="B764">
        <v>2</v>
      </c>
      <c r="C764">
        <v>4</v>
      </c>
      <c r="D764">
        <v>19.05</v>
      </c>
      <c r="E764">
        <v>-44</v>
      </c>
      <c r="F764">
        <v>9.7184444444444402</v>
      </c>
    </row>
    <row r="765" spans="1:6" x14ac:dyDescent="0.25">
      <c r="A765" t="s">
        <v>13</v>
      </c>
      <c r="B765">
        <v>2</v>
      </c>
      <c r="C765">
        <v>4</v>
      </c>
      <c r="D765">
        <v>19.399999999999999</v>
      </c>
      <c r="E765">
        <v>-44</v>
      </c>
      <c r="F765">
        <v>4.7097777777777701</v>
      </c>
    </row>
    <row r="766" spans="1:6" x14ac:dyDescent="0.25">
      <c r="A766" t="s">
        <v>13</v>
      </c>
      <c r="B766">
        <v>2</v>
      </c>
      <c r="C766">
        <v>4</v>
      </c>
      <c r="D766">
        <v>19.75</v>
      </c>
      <c r="E766">
        <v>-44</v>
      </c>
      <c r="F766">
        <v>2.88377777777777</v>
      </c>
    </row>
    <row r="767" spans="1:6" x14ac:dyDescent="0.25">
      <c r="A767" t="s">
        <v>13</v>
      </c>
      <c r="B767">
        <v>2</v>
      </c>
      <c r="C767">
        <v>4</v>
      </c>
      <c r="D767">
        <v>20.100000000000001</v>
      </c>
      <c r="E767">
        <v>-44</v>
      </c>
      <c r="F767">
        <v>2.9204444444444402</v>
      </c>
    </row>
    <row r="768" spans="1:6" x14ac:dyDescent="0.25">
      <c r="A768" t="s">
        <v>13</v>
      </c>
      <c r="B768">
        <v>3</v>
      </c>
      <c r="C768">
        <v>4</v>
      </c>
      <c r="D768">
        <v>24.9</v>
      </c>
      <c r="E768">
        <v>-44</v>
      </c>
      <c r="F768">
        <v>3.1327109036345502</v>
      </c>
    </row>
    <row r="769" spans="1:6" x14ac:dyDescent="0.25">
      <c r="A769" t="s">
        <v>13</v>
      </c>
      <c r="B769">
        <v>3</v>
      </c>
      <c r="C769">
        <v>4</v>
      </c>
      <c r="D769">
        <v>25.25</v>
      </c>
      <c r="E769">
        <v>-44</v>
      </c>
      <c r="F769">
        <v>3.1327109036345502</v>
      </c>
    </row>
    <row r="770" spans="1:6" x14ac:dyDescent="0.25">
      <c r="A770" t="s">
        <v>13</v>
      </c>
      <c r="B770">
        <v>3</v>
      </c>
      <c r="C770">
        <v>4</v>
      </c>
      <c r="D770">
        <v>25.6</v>
      </c>
      <c r="E770">
        <v>-44</v>
      </c>
      <c r="F770">
        <v>3.56552184061354</v>
      </c>
    </row>
    <row r="771" spans="1:6" x14ac:dyDescent="0.25">
      <c r="A771" t="s">
        <v>13</v>
      </c>
      <c r="B771">
        <v>3</v>
      </c>
      <c r="C771">
        <v>4</v>
      </c>
      <c r="D771">
        <v>25.95</v>
      </c>
      <c r="E771">
        <v>-44</v>
      </c>
      <c r="F771">
        <v>9.2507502500833692</v>
      </c>
    </row>
    <row r="772" spans="1:6" x14ac:dyDescent="0.25">
      <c r="A772" t="s">
        <v>13</v>
      </c>
      <c r="B772">
        <v>3</v>
      </c>
      <c r="C772">
        <v>4</v>
      </c>
      <c r="D772">
        <v>26.3</v>
      </c>
      <c r="E772">
        <v>-44</v>
      </c>
      <c r="F772">
        <v>10.314438146048699</v>
      </c>
    </row>
    <row r="773" spans="1:6" x14ac:dyDescent="0.25">
      <c r="A773" t="s">
        <v>13</v>
      </c>
      <c r="B773">
        <v>3</v>
      </c>
      <c r="C773">
        <v>4</v>
      </c>
      <c r="D773">
        <v>26.65</v>
      </c>
      <c r="E773">
        <v>-44</v>
      </c>
      <c r="F773">
        <v>10.475825275091699</v>
      </c>
    </row>
    <row r="774" spans="1:6" x14ac:dyDescent="0.25">
      <c r="A774" t="s">
        <v>13</v>
      </c>
      <c r="B774">
        <v>3</v>
      </c>
      <c r="C774">
        <v>4</v>
      </c>
      <c r="D774">
        <v>27</v>
      </c>
      <c r="E774">
        <v>-44</v>
      </c>
      <c r="F774">
        <v>10.512504168055999</v>
      </c>
    </row>
    <row r="775" spans="1:6" x14ac:dyDescent="0.25">
      <c r="A775" t="s">
        <v>13</v>
      </c>
      <c r="B775">
        <v>3</v>
      </c>
      <c r="C775">
        <v>4</v>
      </c>
      <c r="D775">
        <v>27.35</v>
      </c>
      <c r="E775">
        <v>-44</v>
      </c>
      <c r="F775">
        <v>10.446482160720199</v>
      </c>
    </row>
    <row r="776" spans="1:6" x14ac:dyDescent="0.25">
      <c r="A776" t="s">
        <v>13</v>
      </c>
      <c r="B776">
        <v>3</v>
      </c>
      <c r="C776">
        <v>4</v>
      </c>
      <c r="D776">
        <v>27.7</v>
      </c>
      <c r="E776">
        <v>-44</v>
      </c>
      <c r="F776">
        <v>10.2117372457486</v>
      </c>
    </row>
    <row r="777" spans="1:6" x14ac:dyDescent="0.25">
      <c r="A777" t="s">
        <v>13</v>
      </c>
      <c r="B777">
        <v>3</v>
      </c>
      <c r="C777">
        <v>4</v>
      </c>
      <c r="D777">
        <v>28.05</v>
      </c>
      <c r="E777">
        <v>-44</v>
      </c>
      <c r="F777">
        <v>9.4781593864621598</v>
      </c>
    </row>
    <row r="778" spans="1:6" x14ac:dyDescent="0.25">
      <c r="A778" t="s">
        <v>13</v>
      </c>
      <c r="B778">
        <v>3</v>
      </c>
      <c r="C778">
        <v>4</v>
      </c>
      <c r="D778">
        <v>28.4</v>
      </c>
      <c r="E778">
        <v>-44</v>
      </c>
      <c r="F778">
        <v>7.6882294098032702</v>
      </c>
    </row>
    <row r="779" spans="1:6" x14ac:dyDescent="0.25">
      <c r="A779" t="s">
        <v>13</v>
      </c>
      <c r="B779">
        <v>3</v>
      </c>
      <c r="C779">
        <v>4</v>
      </c>
      <c r="D779">
        <v>28.75</v>
      </c>
      <c r="E779">
        <v>-44</v>
      </c>
      <c r="F779">
        <v>3.10336778926309</v>
      </c>
    </row>
    <row r="780" spans="1:6" x14ac:dyDescent="0.25">
      <c r="A780" t="s">
        <v>13</v>
      </c>
      <c r="B780">
        <v>3</v>
      </c>
      <c r="C780">
        <v>4</v>
      </c>
      <c r="D780">
        <v>29.1</v>
      </c>
      <c r="E780">
        <v>-44</v>
      </c>
      <c r="F780">
        <v>3.06668889629877</v>
      </c>
    </row>
    <row r="781" spans="1:6" x14ac:dyDescent="0.25">
      <c r="A781" t="s">
        <v>13</v>
      </c>
      <c r="B781">
        <v>4</v>
      </c>
      <c r="C781">
        <v>4</v>
      </c>
      <c r="D781">
        <v>33.9</v>
      </c>
      <c r="E781">
        <v>-44</v>
      </c>
      <c r="F781">
        <v>3.25180736291848</v>
      </c>
    </row>
    <row r="782" spans="1:6" x14ac:dyDescent="0.25">
      <c r="A782" t="s">
        <v>13</v>
      </c>
      <c r="B782">
        <v>4</v>
      </c>
      <c r="C782">
        <v>4</v>
      </c>
      <c r="D782">
        <v>34.25</v>
      </c>
      <c r="E782">
        <v>-44</v>
      </c>
      <c r="F782">
        <v>3.34723612501391</v>
      </c>
    </row>
    <row r="783" spans="1:6" x14ac:dyDescent="0.25">
      <c r="A783" t="s">
        <v>13</v>
      </c>
      <c r="B783">
        <v>4</v>
      </c>
      <c r="C783">
        <v>4</v>
      </c>
      <c r="D783">
        <v>34.6</v>
      </c>
      <c r="E783">
        <v>-44</v>
      </c>
      <c r="F783">
        <v>3.5454343232120999</v>
      </c>
    </row>
    <row r="784" spans="1:6" x14ac:dyDescent="0.25">
      <c r="A784" t="s">
        <v>13</v>
      </c>
      <c r="B784">
        <v>4</v>
      </c>
      <c r="C784">
        <v>4</v>
      </c>
      <c r="D784">
        <v>34.950000000000003</v>
      </c>
      <c r="E784">
        <v>-44</v>
      </c>
      <c r="F784">
        <v>9.5868090312534804</v>
      </c>
    </row>
    <row r="785" spans="1:6" x14ac:dyDescent="0.25">
      <c r="A785" t="s">
        <v>13</v>
      </c>
      <c r="B785">
        <v>4</v>
      </c>
      <c r="C785">
        <v>4</v>
      </c>
      <c r="D785">
        <v>35.299999999999997</v>
      </c>
      <c r="E785">
        <v>-44</v>
      </c>
      <c r="F785">
        <v>10.453008564119701</v>
      </c>
    </row>
    <row r="786" spans="1:6" x14ac:dyDescent="0.25">
      <c r="A786" t="s">
        <v>13</v>
      </c>
      <c r="B786">
        <v>4</v>
      </c>
      <c r="C786">
        <v>4</v>
      </c>
      <c r="D786">
        <v>35.65</v>
      </c>
      <c r="E786">
        <v>-44</v>
      </c>
      <c r="F786">
        <v>10.5851406962518</v>
      </c>
    </row>
    <row r="787" spans="1:6" x14ac:dyDescent="0.25">
      <c r="A787" t="s">
        <v>13</v>
      </c>
      <c r="B787">
        <v>4</v>
      </c>
      <c r="C787">
        <v>4</v>
      </c>
      <c r="D787">
        <v>36</v>
      </c>
      <c r="E787">
        <v>-44</v>
      </c>
      <c r="F787">
        <v>10.519074630185701</v>
      </c>
    </row>
    <row r="788" spans="1:6" x14ac:dyDescent="0.25">
      <c r="A788" t="s">
        <v>13</v>
      </c>
      <c r="B788">
        <v>4</v>
      </c>
      <c r="C788">
        <v>4</v>
      </c>
      <c r="D788">
        <v>36.35</v>
      </c>
      <c r="E788">
        <v>-44</v>
      </c>
      <c r="F788">
        <v>10.5851406962518</v>
      </c>
    </row>
    <row r="789" spans="1:6" x14ac:dyDescent="0.25">
      <c r="A789" t="s">
        <v>13</v>
      </c>
      <c r="B789">
        <v>4</v>
      </c>
      <c r="C789">
        <v>4</v>
      </c>
      <c r="D789">
        <v>36.700000000000003</v>
      </c>
      <c r="E789">
        <v>-44</v>
      </c>
      <c r="F789">
        <v>10.3869424980536</v>
      </c>
    </row>
    <row r="790" spans="1:6" x14ac:dyDescent="0.25">
      <c r="A790" t="s">
        <v>13</v>
      </c>
      <c r="B790">
        <v>4</v>
      </c>
      <c r="C790">
        <v>4</v>
      </c>
      <c r="D790">
        <v>37.049999999999997</v>
      </c>
      <c r="E790">
        <v>-44</v>
      </c>
      <c r="F790">
        <v>8.7573128684239805</v>
      </c>
    </row>
    <row r="791" spans="1:6" x14ac:dyDescent="0.25">
      <c r="A791" t="s">
        <v>13</v>
      </c>
      <c r="B791">
        <v>4</v>
      </c>
      <c r="C791">
        <v>4</v>
      </c>
      <c r="D791">
        <v>37.4</v>
      </c>
      <c r="E791">
        <v>-44</v>
      </c>
      <c r="F791">
        <v>3.1196752307863398</v>
      </c>
    </row>
    <row r="792" spans="1:6" x14ac:dyDescent="0.25">
      <c r="A792" t="s">
        <v>13</v>
      </c>
      <c r="B792">
        <v>4</v>
      </c>
      <c r="C792">
        <v>4</v>
      </c>
      <c r="D792">
        <v>37.75</v>
      </c>
      <c r="E792">
        <v>-44</v>
      </c>
      <c r="F792">
        <v>2.9875430986542102</v>
      </c>
    </row>
    <row r="793" spans="1:6" x14ac:dyDescent="0.25">
      <c r="A793" t="s">
        <v>13</v>
      </c>
      <c r="B793">
        <v>4</v>
      </c>
      <c r="C793">
        <v>4</v>
      </c>
      <c r="D793">
        <v>38.1</v>
      </c>
      <c r="E793">
        <v>-44</v>
      </c>
      <c r="F793">
        <v>3.1196752307863398</v>
      </c>
    </row>
    <row r="794" spans="1:6" x14ac:dyDescent="0.25">
      <c r="A794" t="s">
        <v>13</v>
      </c>
      <c r="B794">
        <v>5</v>
      </c>
      <c r="C794">
        <v>4</v>
      </c>
      <c r="D794">
        <v>42.9</v>
      </c>
      <c r="E794">
        <v>-44</v>
      </c>
      <c r="F794">
        <v>3.2527593818984499</v>
      </c>
    </row>
    <row r="795" spans="1:6" x14ac:dyDescent="0.25">
      <c r="A795" t="s">
        <v>13</v>
      </c>
      <c r="B795">
        <v>5</v>
      </c>
      <c r="C795">
        <v>4</v>
      </c>
      <c r="D795">
        <v>43.25</v>
      </c>
      <c r="E795">
        <v>-44</v>
      </c>
      <c r="F795">
        <v>3.2236203090507698</v>
      </c>
    </row>
    <row r="796" spans="1:6" x14ac:dyDescent="0.25">
      <c r="A796" t="s">
        <v>13</v>
      </c>
      <c r="B796">
        <v>5</v>
      </c>
      <c r="C796">
        <v>4</v>
      </c>
      <c r="D796">
        <v>43.6</v>
      </c>
      <c r="E796">
        <v>-44</v>
      </c>
      <c r="F796">
        <v>3.3838852097130201</v>
      </c>
    </row>
    <row r="797" spans="1:6" x14ac:dyDescent="0.25">
      <c r="A797" t="s">
        <v>13</v>
      </c>
      <c r="B797">
        <v>5</v>
      </c>
      <c r="C797">
        <v>4</v>
      </c>
      <c r="D797">
        <v>43.95</v>
      </c>
      <c r="E797">
        <v>-44</v>
      </c>
      <c r="F797">
        <v>9.7434878587196394</v>
      </c>
    </row>
    <row r="798" spans="1:6" x14ac:dyDescent="0.25">
      <c r="A798" t="s">
        <v>13</v>
      </c>
      <c r="B798">
        <v>5</v>
      </c>
      <c r="C798">
        <v>4</v>
      </c>
      <c r="D798">
        <v>44.3</v>
      </c>
      <c r="E798">
        <v>-44</v>
      </c>
      <c r="F798">
        <v>10.3991169977925</v>
      </c>
    </row>
    <row r="799" spans="1:6" x14ac:dyDescent="0.25">
      <c r="A799" t="s">
        <v>13</v>
      </c>
      <c r="B799">
        <v>5</v>
      </c>
      <c r="C799">
        <v>4</v>
      </c>
      <c r="D799">
        <v>44.65</v>
      </c>
      <c r="E799">
        <v>-44</v>
      </c>
      <c r="F799">
        <v>10.5302428256071</v>
      </c>
    </row>
    <row r="800" spans="1:6" x14ac:dyDescent="0.25">
      <c r="A800" t="s">
        <v>13</v>
      </c>
      <c r="B800">
        <v>5</v>
      </c>
      <c r="C800">
        <v>4</v>
      </c>
      <c r="D800">
        <v>45</v>
      </c>
      <c r="E800">
        <v>-44</v>
      </c>
      <c r="F800">
        <v>10.5011037527594</v>
      </c>
    </row>
    <row r="801" spans="1:6" x14ac:dyDescent="0.25">
      <c r="A801" t="s">
        <v>13</v>
      </c>
      <c r="B801">
        <v>5</v>
      </c>
      <c r="C801">
        <v>4</v>
      </c>
      <c r="D801">
        <v>45.35</v>
      </c>
      <c r="E801">
        <v>-44</v>
      </c>
      <c r="F801">
        <v>10.3044150110375</v>
      </c>
    </row>
    <row r="802" spans="1:6" x14ac:dyDescent="0.25">
      <c r="A802" t="s">
        <v>13</v>
      </c>
      <c r="B802">
        <v>5</v>
      </c>
      <c r="C802">
        <v>4</v>
      </c>
      <c r="D802">
        <v>45.7</v>
      </c>
      <c r="E802">
        <v>-44</v>
      </c>
      <c r="F802">
        <v>9.7070640176600396</v>
      </c>
    </row>
    <row r="803" spans="1:6" x14ac:dyDescent="0.25">
      <c r="A803" t="s">
        <v>13</v>
      </c>
      <c r="B803">
        <v>5</v>
      </c>
      <c r="C803">
        <v>4</v>
      </c>
      <c r="D803">
        <v>46.05</v>
      </c>
      <c r="E803">
        <v>-44</v>
      </c>
      <c r="F803">
        <v>8.2282560706401693</v>
      </c>
    </row>
    <row r="804" spans="1:6" x14ac:dyDescent="0.25">
      <c r="A804" t="s">
        <v>13</v>
      </c>
      <c r="B804">
        <v>5</v>
      </c>
      <c r="C804">
        <v>4</v>
      </c>
      <c r="D804">
        <v>46.4</v>
      </c>
      <c r="E804">
        <v>-44</v>
      </c>
      <c r="F804">
        <v>3.18719646799117</v>
      </c>
    </row>
    <row r="805" spans="1:6" x14ac:dyDescent="0.25">
      <c r="A805" t="s">
        <v>13</v>
      </c>
      <c r="B805">
        <v>5</v>
      </c>
      <c r="C805">
        <v>4</v>
      </c>
      <c r="D805">
        <v>46.75</v>
      </c>
      <c r="E805">
        <v>-44</v>
      </c>
      <c r="F805">
        <v>3.0269315673289201</v>
      </c>
    </row>
    <row r="806" spans="1:6" x14ac:dyDescent="0.25">
      <c r="A806" t="s">
        <v>13</v>
      </c>
      <c r="B806">
        <v>5</v>
      </c>
      <c r="C806">
        <v>4</v>
      </c>
      <c r="D806">
        <v>47.1</v>
      </c>
      <c r="E806">
        <v>-44</v>
      </c>
      <c r="F806">
        <v>3.1216335540838802</v>
      </c>
    </row>
    <row r="807" spans="1:6" x14ac:dyDescent="0.25">
      <c r="A807" t="s">
        <v>13</v>
      </c>
      <c r="B807">
        <v>6</v>
      </c>
      <c r="C807">
        <v>4</v>
      </c>
      <c r="D807">
        <v>51.9</v>
      </c>
      <c r="E807">
        <v>-44</v>
      </c>
      <c r="F807">
        <v>3.5223184543637598</v>
      </c>
    </row>
    <row r="808" spans="1:6" x14ac:dyDescent="0.25">
      <c r="A808" t="s">
        <v>13</v>
      </c>
      <c r="B808">
        <v>6</v>
      </c>
      <c r="C808">
        <v>4</v>
      </c>
      <c r="D808">
        <v>52.25</v>
      </c>
      <c r="E808">
        <v>-44</v>
      </c>
      <c r="F808">
        <v>8.7768154563624297</v>
      </c>
    </row>
    <row r="809" spans="1:6" x14ac:dyDescent="0.25">
      <c r="A809" t="s">
        <v>13</v>
      </c>
      <c r="B809">
        <v>6</v>
      </c>
      <c r="C809">
        <v>4</v>
      </c>
      <c r="D809">
        <v>52.6</v>
      </c>
      <c r="E809">
        <v>-44</v>
      </c>
      <c r="F809">
        <v>10.073950699533601</v>
      </c>
    </row>
    <row r="810" spans="1:6" x14ac:dyDescent="0.25">
      <c r="A810" t="s">
        <v>13</v>
      </c>
      <c r="B810">
        <v>6</v>
      </c>
      <c r="C810">
        <v>4</v>
      </c>
      <c r="D810">
        <v>52.95</v>
      </c>
      <c r="E810">
        <v>-44</v>
      </c>
      <c r="F810">
        <v>10.601598934044</v>
      </c>
    </row>
    <row r="811" spans="1:6" x14ac:dyDescent="0.25">
      <c r="A811" t="s">
        <v>13</v>
      </c>
      <c r="B811">
        <v>6</v>
      </c>
      <c r="C811">
        <v>4</v>
      </c>
      <c r="D811">
        <v>53.3</v>
      </c>
      <c r="E811">
        <v>-44</v>
      </c>
      <c r="F811">
        <v>10.799467021985301</v>
      </c>
    </row>
    <row r="812" spans="1:6" x14ac:dyDescent="0.25">
      <c r="A812" t="s">
        <v>13</v>
      </c>
      <c r="B812">
        <v>6</v>
      </c>
      <c r="C812">
        <v>4</v>
      </c>
      <c r="D812">
        <v>53.65</v>
      </c>
      <c r="E812">
        <v>-44</v>
      </c>
      <c r="F812">
        <v>10.872751499000699</v>
      </c>
    </row>
    <row r="813" spans="1:6" x14ac:dyDescent="0.25">
      <c r="A813" t="s">
        <v>13</v>
      </c>
      <c r="B813">
        <v>6</v>
      </c>
      <c r="C813">
        <v>4</v>
      </c>
      <c r="D813">
        <v>54</v>
      </c>
      <c r="E813">
        <v>-44</v>
      </c>
      <c r="F813">
        <v>10.799467021985301</v>
      </c>
    </row>
    <row r="814" spans="1:6" x14ac:dyDescent="0.25">
      <c r="A814" t="s">
        <v>13</v>
      </c>
      <c r="B814">
        <v>6</v>
      </c>
      <c r="C814">
        <v>4</v>
      </c>
      <c r="D814">
        <v>54.35</v>
      </c>
      <c r="E814">
        <v>-44</v>
      </c>
      <c r="F814">
        <v>10.601598934044</v>
      </c>
    </row>
    <row r="815" spans="1:6" x14ac:dyDescent="0.25">
      <c r="A815" t="s">
        <v>13</v>
      </c>
      <c r="B815">
        <v>6</v>
      </c>
      <c r="C815">
        <v>4</v>
      </c>
      <c r="D815">
        <v>54.7</v>
      </c>
      <c r="E815">
        <v>-44</v>
      </c>
      <c r="F815">
        <v>10.037308461026001</v>
      </c>
    </row>
    <row r="816" spans="1:6" x14ac:dyDescent="0.25">
      <c r="A816" t="s">
        <v>13</v>
      </c>
      <c r="B816">
        <v>6</v>
      </c>
      <c r="C816">
        <v>4</v>
      </c>
      <c r="D816">
        <v>55.05</v>
      </c>
      <c r="E816">
        <v>-44</v>
      </c>
      <c r="F816">
        <v>8.3077948034643594</v>
      </c>
    </row>
    <row r="817" spans="1:6" x14ac:dyDescent="0.25">
      <c r="A817" t="s">
        <v>13</v>
      </c>
      <c r="B817">
        <v>6</v>
      </c>
      <c r="C817">
        <v>4</v>
      </c>
      <c r="D817">
        <v>55.4</v>
      </c>
      <c r="E817">
        <v>-44</v>
      </c>
      <c r="F817">
        <v>7.0106595602931403</v>
      </c>
    </row>
    <row r="818" spans="1:6" x14ac:dyDescent="0.25">
      <c r="A818" t="s">
        <v>13</v>
      </c>
      <c r="B818">
        <v>6</v>
      </c>
      <c r="C818">
        <v>4</v>
      </c>
      <c r="D818">
        <v>55.75</v>
      </c>
      <c r="E818">
        <v>-44</v>
      </c>
      <c r="F818">
        <v>3.2291805463024699</v>
      </c>
    </row>
    <row r="819" spans="1:6" x14ac:dyDescent="0.25">
      <c r="A819" t="s">
        <v>13</v>
      </c>
      <c r="B819">
        <v>6</v>
      </c>
      <c r="C819">
        <v>4</v>
      </c>
      <c r="D819">
        <v>56.1</v>
      </c>
      <c r="E819">
        <v>-44</v>
      </c>
      <c r="F819">
        <v>3.2291805463024699</v>
      </c>
    </row>
    <row r="820" spans="1:6" x14ac:dyDescent="0.25">
      <c r="A820" t="s">
        <v>13</v>
      </c>
      <c r="B820">
        <v>7</v>
      </c>
      <c r="C820">
        <v>4</v>
      </c>
      <c r="D820">
        <v>60.9</v>
      </c>
      <c r="E820">
        <v>-44</v>
      </c>
      <c r="F820">
        <v>9.2263017356475192</v>
      </c>
    </row>
    <row r="821" spans="1:6" x14ac:dyDescent="0.25">
      <c r="A821" t="s">
        <v>13</v>
      </c>
      <c r="B821">
        <v>7</v>
      </c>
      <c r="C821">
        <v>4</v>
      </c>
      <c r="D821">
        <v>61.25</v>
      </c>
      <c r="E821">
        <v>-44</v>
      </c>
      <c r="F821">
        <v>9.9679572763684892</v>
      </c>
    </row>
    <row r="822" spans="1:6" x14ac:dyDescent="0.25">
      <c r="A822" t="s">
        <v>13</v>
      </c>
      <c r="B822">
        <v>7</v>
      </c>
      <c r="C822">
        <v>4</v>
      </c>
      <c r="D822">
        <v>61.6</v>
      </c>
      <c r="E822">
        <v>-44</v>
      </c>
      <c r="F822">
        <v>10.371829105473999</v>
      </c>
    </row>
    <row r="823" spans="1:6" x14ac:dyDescent="0.25">
      <c r="A823" t="s">
        <v>13</v>
      </c>
      <c r="B823">
        <v>7</v>
      </c>
      <c r="C823">
        <v>4</v>
      </c>
      <c r="D823">
        <v>61.95</v>
      </c>
      <c r="E823">
        <v>-44</v>
      </c>
      <c r="F823">
        <v>10.7096128170894</v>
      </c>
    </row>
    <row r="824" spans="1:6" x14ac:dyDescent="0.25">
      <c r="A824" t="s">
        <v>13</v>
      </c>
      <c r="B824">
        <v>7</v>
      </c>
      <c r="C824">
        <v>4</v>
      </c>
      <c r="D824">
        <v>62.3</v>
      </c>
      <c r="E824">
        <v>-44</v>
      </c>
      <c r="F824">
        <v>10.849132176235001</v>
      </c>
    </row>
    <row r="825" spans="1:6" x14ac:dyDescent="0.25">
      <c r="A825" t="s">
        <v>13</v>
      </c>
      <c r="B825">
        <v>7</v>
      </c>
      <c r="C825">
        <v>4</v>
      </c>
      <c r="D825">
        <v>62.65</v>
      </c>
      <c r="E825">
        <v>-44</v>
      </c>
      <c r="F825">
        <v>10.8124165554072</v>
      </c>
    </row>
    <row r="826" spans="1:6" x14ac:dyDescent="0.25">
      <c r="A826" t="s">
        <v>13</v>
      </c>
      <c r="B826">
        <v>7</v>
      </c>
      <c r="C826">
        <v>4</v>
      </c>
      <c r="D826">
        <v>63</v>
      </c>
      <c r="E826">
        <v>-44</v>
      </c>
      <c r="F826">
        <v>10.680240320427201</v>
      </c>
    </row>
    <row r="827" spans="1:6" x14ac:dyDescent="0.25">
      <c r="A827" t="s">
        <v>13</v>
      </c>
      <c r="B827">
        <v>7</v>
      </c>
      <c r="C827">
        <v>4</v>
      </c>
      <c r="D827">
        <v>63.35</v>
      </c>
      <c r="E827">
        <v>-44</v>
      </c>
      <c r="F827">
        <v>10.474632843791699</v>
      </c>
    </row>
    <row r="828" spans="1:6" x14ac:dyDescent="0.25">
      <c r="A828" t="s">
        <v>13</v>
      </c>
      <c r="B828">
        <v>7</v>
      </c>
      <c r="C828">
        <v>4</v>
      </c>
      <c r="D828">
        <v>63.7</v>
      </c>
      <c r="E828">
        <v>-44</v>
      </c>
      <c r="F828">
        <v>9.6008010680907798</v>
      </c>
    </row>
    <row r="829" spans="1:6" x14ac:dyDescent="0.25">
      <c r="A829" t="s">
        <v>13</v>
      </c>
      <c r="B829">
        <v>7</v>
      </c>
      <c r="C829">
        <v>4</v>
      </c>
      <c r="D829">
        <v>64.05</v>
      </c>
      <c r="E829">
        <v>-44</v>
      </c>
      <c r="F829">
        <v>7.9118825100133501</v>
      </c>
    </row>
    <row r="830" spans="1:6" x14ac:dyDescent="0.25">
      <c r="A830" t="s">
        <v>13</v>
      </c>
      <c r="B830">
        <v>7</v>
      </c>
      <c r="C830">
        <v>4</v>
      </c>
      <c r="D830">
        <v>64.400000000000006</v>
      </c>
      <c r="E830">
        <v>-44</v>
      </c>
      <c r="F830">
        <v>5.9512683578104104</v>
      </c>
    </row>
    <row r="831" spans="1:6" x14ac:dyDescent="0.25">
      <c r="A831" t="s">
        <v>13</v>
      </c>
      <c r="B831">
        <v>7</v>
      </c>
      <c r="C831">
        <v>4</v>
      </c>
      <c r="D831">
        <v>64.75</v>
      </c>
      <c r="E831">
        <v>-44</v>
      </c>
      <c r="F831">
        <v>3.79238985313751</v>
      </c>
    </row>
    <row r="832" spans="1:6" x14ac:dyDescent="0.25">
      <c r="A832" t="s">
        <v>13</v>
      </c>
      <c r="B832">
        <v>7</v>
      </c>
      <c r="C832">
        <v>4</v>
      </c>
      <c r="D832">
        <v>65.099999999999994</v>
      </c>
      <c r="E832">
        <v>-44</v>
      </c>
      <c r="F832">
        <v>3.2857142857142798</v>
      </c>
    </row>
    <row r="833" spans="1:6" x14ac:dyDescent="0.25">
      <c r="A833" t="s">
        <v>13</v>
      </c>
      <c r="B833">
        <v>0</v>
      </c>
      <c r="C833">
        <v>3</v>
      </c>
      <c r="D833">
        <v>-2.1</v>
      </c>
      <c r="E833">
        <v>-35</v>
      </c>
      <c r="F833">
        <v>3.1970454293013399</v>
      </c>
    </row>
    <row r="834" spans="1:6" x14ac:dyDescent="0.25">
      <c r="A834" t="s">
        <v>13</v>
      </c>
      <c r="B834">
        <v>0</v>
      </c>
      <c r="C834">
        <v>3</v>
      </c>
      <c r="D834">
        <v>-1.75</v>
      </c>
      <c r="E834">
        <v>-35</v>
      </c>
      <c r="F834">
        <v>8.4239697878485007</v>
      </c>
    </row>
    <row r="835" spans="1:6" x14ac:dyDescent="0.25">
      <c r="A835" t="s">
        <v>13</v>
      </c>
      <c r="B835">
        <v>0</v>
      </c>
      <c r="C835">
        <v>3</v>
      </c>
      <c r="D835">
        <v>-1.4</v>
      </c>
      <c r="E835">
        <v>-35</v>
      </c>
      <c r="F835">
        <v>9.3989781184049797</v>
      </c>
    </row>
    <row r="836" spans="1:6" x14ac:dyDescent="0.25">
      <c r="A836" t="s">
        <v>13</v>
      </c>
      <c r="B836">
        <v>0</v>
      </c>
      <c r="C836">
        <v>3</v>
      </c>
      <c r="D836">
        <v>-1.05</v>
      </c>
      <c r="E836">
        <v>-35</v>
      </c>
      <c r="F836">
        <v>9.9048095079418008</v>
      </c>
    </row>
    <row r="837" spans="1:6" x14ac:dyDescent="0.25">
      <c r="A837" t="s">
        <v>13</v>
      </c>
      <c r="B837">
        <v>0</v>
      </c>
      <c r="C837">
        <v>3</v>
      </c>
      <c r="D837">
        <v>-0.7</v>
      </c>
      <c r="E837">
        <v>-35</v>
      </c>
      <c r="F837">
        <v>10.3080084416306</v>
      </c>
    </row>
    <row r="838" spans="1:6" x14ac:dyDescent="0.25">
      <c r="A838" t="s">
        <v>13</v>
      </c>
      <c r="B838">
        <v>0</v>
      </c>
      <c r="C838">
        <v>3</v>
      </c>
      <c r="D838">
        <v>-0.35</v>
      </c>
      <c r="E838">
        <v>-35</v>
      </c>
      <c r="F838">
        <v>10.513273353326699</v>
      </c>
    </row>
    <row r="839" spans="1:6" x14ac:dyDescent="0.25">
      <c r="A839" t="s">
        <v>13</v>
      </c>
      <c r="B839">
        <v>0</v>
      </c>
      <c r="C839">
        <v>3</v>
      </c>
      <c r="D839" s="1">
        <v>-4.4408920985006301E-16</v>
      </c>
      <c r="E839">
        <v>-35</v>
      </c>
      <c r="F839">
        <v>10.6085749194713</v>
      </c>
    </row>
    <row r="840" spans="1:6" x14ac:dyDescent="0.25">
      <c r="A840" t="s">
        <v>13</v>
      </c>
      <c r="B840">
        <v>0</v>
      </c>
      <c r="C840">
        <v>3</v>
      </c>
      <c r="D840">
        <v>0.35</v>
      </c>
      <c r="E840">
        <v>-35</v>
      </c>
      <c r="F840">
        <v>10.6085749194713</v>
      </c>
    </row>
    <row r="841" spans="1:6" x14ac:dyDescent="0.25">
      <c r="A841" t="s">
        <v>13</v>
      </c>
      <c r="B841">
        <v>0</v>
      </c>
      <c r="C841">
        <v>3</v>
      </c>
      <c r="D841">
        <v>0.7</v>
      </c>
      <c r="E841">
        <v>-35</v>
      </c>
      <c r="F841">
        <v>10.5425969121404</v>
      </c>
    </row>
    <row r="842" spans="1:6" x14ac:dyDescent="0.25">
      <c r="A842" t="s">
        <v>13</v>
      </c>
      <c r="B842">
        <v>0</v>
      </c>
      <c r="C842">
        <v>3</v>
      </c>
      <c r="D842">
        <v>1.05</v>
      </c>
      <c r="E842">
        <v>-35</v>
      </c>
      <c r="F842">
        <v>10.344662890147699</v>
      </c>
    </row>
    <row r="843" spans="1:6" x14ac:dyDescent="0.25">
      <c r="A843" t="s">
        <v>13</v>
      </c>
      <c r="B843">
        <v>0</v>
      </c>
      <c r="C843">
        <v>3</v>
      </c>
      <c r="D843">
        <v>1.4</v>
      </c>
      <c r="E843">
        <v>-35</v>
      </c>
      <c r="F843">
        <v>9.7728534932800208</v>
      </c>
    </row>
    <row r="844" spans="1:6" x14ac:dyDescent="0.25">
      <c r="A844" t="s">
        <v>13</v>
      </c>
      <c r="B844">
        <v>0</v>
      </c>
      <c r="C844">
        <v>3</v>
      </c>
      <c r="D844">
        <v>1.75</v>
      </c>
      <c r="E844">
        <v>-35</v>
      </c>
      <c r="F844">
        <v>8.3213373320004393</v>
      </c>
    </row>
    <row r="845" spans="1:6" x14ac:dyDescent="0.25">
      <c r="A845" t="s">
        <v>13</v>
      </c>
      <c r="B845">
        <v>0</v>
      </c>
      <c r="C845">
        <v>3</v>
      </c>
      <c r="D845">
        <v>2.1</v>
      </c>
      <c r="E845">
        <v>-35</v>
      </c>
      <c r="F845">
        <v>4.6485615905809201</v>
      </c>
    </row>
    <row r="846" spans="1:6" x14ac:dyDescent="0.25">
      <c r="A846" t="s">
        <v>13</v>
      </c>
      <c r="B846">
        <v>1</v>
      </c>
      <c r="C846">
        <v>3</v>
      </c>
      <c r="D846">
        <v>6.9</v>
      </c>
      <c r="E846">
        <v>-35</v>
      </c>
      <c r="F846">
        <v>3.06786826880285</v>
      </c>
    </row>
    <row r="847" spans="1:6" x14ac:dyDescent="0.25">
      <c r="A847" t="s">
        <v>13</v>
      </c>
      <c r="B847">
        <v>1</v>
      </c>
      <c r="C847">
        <v>3</v>
      </c>
      <c r="D847">
        <v>7.25</v>
      </c>
      <c r="E847">
        <v>-35</v>
      </c>
      <c r="F847">
        <v>3.0384957721406298</v>
      </c>
    </row>
    <row r="848" spans="1:6" x14ac:dyDescent="0.25">
      <c r="A848" t="s">
        <v>13</v>
      </c>
      <c r="B848">
        <v>1</v>
      </c>
      <c r="C848">
        <v>3</v>
      </c>
      <c r="D848">
        <v>7.6</v>
      </c>
      <c r="E848">
        <v>-35</v>
      </c>
      <c r="F848">
        <v>3.2367601246105902</v>
      </c>
    </row>
    <row r="849" spans="1:6" x14ac:dyDescent="0.25">
      <c r="A849" t="s">
        <v>13</v>
      </c>
      <c r="B849">
        <v>1</v>
      </c>
      <c r="C849">
        <v>3</v>
      </c>
      <c r="D849">
        <v>7.95</v>
      </c>
      <c r="E849">
        <v>-35</v>
      </c>
      <c r="F849">
        <v>9.3388963061860295</v>
      </c>
    </row>
    <row r="850" spans="1:6" x14ac:dyDescent="0.25">
      <c r="A850" t="s">
        <v>13</v>
      </c>
      <c r="B850">
        <v>1</v>
      </c>
      <c r="C850">
        <v>3</v>
      </c>
      <c r="D850">
        <v>8.3000000000000007</v>
      </c>
      <c r="E850">
        <v>-35</v>
      </c>
      <c r="F850">
        <v>9.9043168669336907</v>
      </c>
    </row>
    <row r="851" spans="1:6" x14ac:dyDescent="0.25">
      <c r="A851" t="s">
        <v>13</v>
      </c>
      <c r="B851">
        <v>1</v>
      </c>
      <c r="C851">
        <v>3</v>
      </c>
      <c r="D851">
        <v>8.65</v>
      </c>
      <c r="E851">
        <v>-35</v>
      </c>
      <c r="F851">
        <v>10.168669336893601</v>
      </c>
    </row>
    <row r="852" spans="1:6" x14ac:dyDescent="0.25">
      <c r="A852" t="s">
        <v>13</v>
      </c>
      <c r="B852">
        <v>1</v>
      </c>
      <c r="C852">
        <v>3</v>
      </c>
      <c r="D852">
        <v>9</v>
      </c>
      <c r="E852">
        <v>-35</v>
      </c>
      <c r="F852">
        <v>10.2053849577214</v>
      </c>
    </row>
    <row r="853" spans="1:6" x14ac:dyDescent="0.25">
      <c r="A853" t="s">
        <v>13</v>
      </c>
      <c r="B853">
        <v>1</v>
      </c>
      <c r="C853">
        <v>3</v>
      </c>
      <c r="D853">
        <v>9.35</v>
      </c>
      <c r="E853">
        <v>-35</v>
      </c>
      <c r="F853">
        <v>9.9704049844236806</v>
      </c>
    </row>
    <row r="854" spans="1:6" x14ac:dyDescent="0.25">
      <c r="A854" t="s">
        <v>13</v>
      </c>
      <c r="B854">
        <v>1</v>
      </c>
      <c r="C854">
        <v>3</v>
      </c>
      <c r="D854">
        <v>9.6999999999999993</v>
      </c>
      <c r="E854">
        <v>-35</v>
      </c>
      <c r="F854">
        <v>9.7721406319537198</v>
      </c>
    </row>
    <row r="855" spans="1:6" x14ac:dyDescent="0.25">
      <c r="A855" t="s">
        <v>13</v>
      </c>
      <c r="B855">
        <v>1</v>
      </c>
      <c r="C855">
        <v>3</v>
      </c>
      <c r="D855">
        <v>10.050000000000001</v>
      </c>
      <c r="E855">
        <v>-35</v>
      </c>
      <c r="F855">
        <v>9.4049844236760105</v>
      </c>
    </row>
    <row r="856" spans="1:6" x14ac:dyDescent="0.25">
      <c r="A856" t="s">
        <v>13</v>
      </c>
      <c r="B856">
        <v>1</v>
      </c>
      <c r="C856">
        <v>3</v>
      </c>
      <c r="D856">
        <v>10.4</v>
      </c>
      <c r="E856">
        <v>-35</v>
      </c>
      <c r="F856">
        <v>7.67200712060525</v>
      </c>
    </row>
    <row r="857" spans="1:6" x14ac:dyDescent="0.25">
      <c r="A857" t="s">
        <v>13</v>
      </c>
      <c r="B857">
        <v>1</v>
      </c>
      <c r="C857">
        <v>3</v>
      </c>
      <c r="D857">
        <v>10.75</v>
      </c>
      <c r="E857">
        <v>-35</v>
      </c>
      <c r="F857">
        <v>5.4029817534490396</v>
      </c>
    </row>
    <row r="858" spans="1:6" x14ac:dyDescent="0.25">
      <c r="A858" t="s">
        <v>13</v>
      </c>
      <c r="B858">
        <v>1</v>
      </c>
      <c r="C858">
        <v>3</v>
      </c>
      <c r="D858">
        <v>11.1</v>
      </c>
      <c r="E858">
        <v>-35</v>
      </c>
      <c r="F858">
        <v>3.0384957721406298</v>
      </c>
    </row>
    <row r="859" spans="1:6" x14ac:dyDescent="0.25">
      <c r="A859" t="s">
        <v>13</v>
      </c>
      <c r="B859">
        <v>2</v>
      </c>
      <c r="C859">
        <v>3</v>
      </c>
      <c r="D859">
        <v>15.9</v>
      </c>
      <c r="E859">
        <v>-35</v>
      </c>
      <c r="F859">
        <v>3.08177777777777</v>
      </c>
    </row>
    <row r="860" spans="1:6" x14ac:dyDescent="0.25">
      <c r="A860" t="s">
        <v>13</v>
      </c>
      <c r="B860">
        <v>2</v>
      </c>
      <c r="C860">
        <v>3</v>
      </c>
      <c r="D860">
        <v>16.25</v>
      </c>
      <c r="E860">
        <v>-35</v>
      </c>
      <c r="F860">
        <v>3.0524444444444399</v>
      </c>
    </row>
    <row r="861" spans="1:6" x14ac:dyDescent="0.25">
      <c r="A861" t="s">
        <v>13</v>
      </c>
      <c r="B861">
        <v>2</v>
      </c>
      <c r="C861">
        <v>3</v>
      </c>
      <c r="D861">
        <v>16.600000000000001</v>
      </c>
      <c r="E861">
        <v>-35</v>
      </c>
      <c r="F861">
        <v>3.0524444444444399</v>
      </c>
    </row>
    <row r="862" spans="1:6" x14ac:dyDescent="0.25">
      <c r="A862" t="s">
        <v>13</v>
      </c>
      <c r="B862">
        <v>2</v>
      </c>
      <c r="C862">
        <v>3</v>
      </c>
      <c r="D862">
        <v>16.95</v>
      </c>
      <c r="E862">
        <v>-35</v>
      </c>
      <c r="F862">
        <v>3.1477777777777698</v>
      </c>
    </row>
    <row r="863" spans="1:6" x14ac:dyDescent="0.25">
      <c r="A863" t="s">
        <v>13</v>
      </c>
      <c r="B863">
        <v>2</v>
      </c>
      <c r="C863">
        <v>3</v>
      </c>
      <c r="D863">
        <v>17.3</v>
      </c>
      <c r="E863">
        <v>-35</v>
      </c>
      <c r="F863">
        <v>9.9237777777777705</v>
      </c>
    </row>
    <row r="864" spans="1:6" x14ac:dyDescent="0.25">
      <c r="A864" t="s">
        <v>13</v>
      </c>
      <c r="B864">
        <v>2</v>
      </c>
      <c r="C864">
        <v>3</v>
      </c>
      <c r="D864">
        <v>17.649999999999999</v>
      </c>
      <c r="E864">
        <v>-35</v>
      </c>
      <c r="F864">
        <v>10.283111111111101</v>
      </c>
    </row>
    <row r="865" spans="1:6" x14ac:dyDescent="0.25">
      <c r="A865" t="s">
        <v>13</v>
      </c>
      <c r="B865">
        <v>2</v>
      </c>
      <c r="C865">
        <v>3</v>
      </c>
      <c r="D865">
        <v>18</v>
      </c>
      <c r="E865">
        <v>-35</v>
      </c>
      <c r="F865">
        <v>10.3491111111111</v>
      </c>
    </row>
    <row r="866" spans="1:6" x14ac:dyDescent="0.25">
      <c r="A866" t="s">
        <v>13</v>
      </c>
      <c r="B866">
        <v>2</v>
      </c>
      <c r="C866">
        <v>3</v>
      </c>
      <c r="D866">
        <v>18.350000000000001</v>
      </c>
      <c r="E866">
        <v>-35</v>
      </c>
      <c r="F866">
        <v>10.283111111111101</v>
      </c>
    </row>
    <row r="867" spans="1:6" x14ac:dyDescent="0.25">
      <c r="A867" t="s">
        <v>13</v>
      </c>
      <c r="B867">
        <v>2</v>
      </c>
      <c r="C867">
        <v>3</v>
      </c>
      <c r="D867">
        <v>18.7</v>
      </c>
      <c r="E867">
        <v>-35</v>
      </c>
      <c r="F867">
        <v>10.2171111111111</v>
      </c>
    </row>
    <row r="868" spans="1:6" x14ac:dyDescent="0.25">
      <c r="A868" t="s">
        <v>13</v>
      </c>
      <c r="B868">
        <v>2</v>
      </c>
      <c r="C868">
        <v>3</v>
      </c>
      <c r="D868">
        <v>19.05</v>
      </c>
      <c r="E868">
        <v>-35</v>
      </c>
      <c r="F868">
        <v>9.4251111111111108</v>
      </c>
    </row>
    <row r="869" spans="1:6" x14ac:dyDescent="0.25">
      <c r="A869" t="s">
        <v>13</v>
      </c>
      <c r="B869">
        <v>2</v>
      </c>
      <c r="C869">
        <v>3</v>
      </c>
      <c r="D869">
        <v>19.399999999999999</v>
      </c>
      <c r="E869">
        <v>-35</v>
      </c>
      <c r="F869">
        <v>5.0397777777777701</v>
      </c>
    </row>
    <row r="870" spans="1:6" x14ac:dyDescent="0.25">
      <c r="A870" t="s">
        <v>13</v>
      </c>
      <c r="B870">
        <v>2</v>
      </c>
      <c r="C870">
        <v>3</v>
      </c>
      <c r="D870">
        <v>19.75</v>
      </c>
      <c r="E870">
        <v>-35</v>
      </c>
      <c r="F870">
        <v>2.88377777777777</v>
      </c>
    </row>
    <row r="871" spans="1:6" x14ac:dyDescent="0.25">
      <c r="A871" t="s">
        <v>13</v>
      </c>
      <c r="B871">
        <v>2</v>
      </c>
      <c r="C871">
        <v>3</v>
      </c>
      <c r="D871">
        <v>20.100000000000001</v>
      </c>
      <c r="E871">
        <v>-35</v>
      </c>
      <c r="F871">
        <v>2.88377777777777</v>
      </c>
    </row>
    <row r="872" spans="1:6" x14ac:dyDescent="0.25">
      <c r="A872" t="s">
        <v>13</v>
      </c>
      <c r="B872">
        <v>3</v>
      </c>
      <c r="C872">
        <v>3</v>
      </c>
      <c r="D872">
        <v>24.9</v>
      </c>
      <c r="E872">
        <v>-35</v>
      </c>
      <c r="F872">
        <v>3.06668889629877</v>
      </c>
    </row>
    <row r="873" spans="1:6" x14ac:dyDescent="0.25">
      <c r="A873" t="s">
        <v>13</v>
      </c>
      <c r="B873">
        <v>3</v>
      </c>
      <c r="C873">
        <v>3</v>
      </c>
      <c r="D873">
        <v>25.25</v>
      </c>
      <c r="E873">
        <v>-35</v>
      </c>
      <c r="F873">
        <v>3.06668889629877</v>
      </c>
    </row>
    <row r="874" spans="1:6" x14ac:dyDescent="0.25">
      <c r="A874" t="s">
        <v>13</v>
      </c>
      <c r="B874">
        <v>3</v>
      </c>
      <c r="C874">
        <v>3</v>
      </c>
      <c r="D874">
        <v>25.6</v>
      </c>
      <c r="E874">
        <v>-35</v>
      </c>
      <c r="F874">
        <v>3.43347782594198</v>
      </c>
    </row>
    <row r="875" spans="1:6" x14ac:dyDescent="0.25">
      <c r="A875" t="s">
        <v>13</v>
      </c>
      <c r="B875">
        <v>3</v>
      </c>
      <c r="C875">
        <v>3</v>
      </c>
      <c r="D875">
        <v>25.95</v>
      </c>
      <c r="E875">
        <v>-35</v>
      </c>
      <c r="F875">
        <v>9.1480493497832693</v>
      </c>
    </row>
    <row r="876" spans="1:6" x14ac:dyDescent="0.25">
      <c r="A876" t="s">
        <v>13</v>
      </c>
      <c r="B876">
        <v>3</v>
      </c>
      <c r="C876">
        <v>3</v>
      </c>
      <c r="D876">
        <v>26.3</v>
      </c>
      <c r="E876">
        <v>-35</v>
      </c>
      <c r="F876">
        <v>10.2484161387129</v>
      </c>
    </row>
    <row r="877" spans="1:6" x14ac:dyDescent="0.25">
      <c r="A877" t="s">
        <v>13</v>
      </c>
      <c r="B877">
        <v>3</v>
      </c>
      <c r="C877">
        <v>3</v>
      </c>
      <c r="D877">
        <v>26.65</v>
      </c>
      <c r="E877">
        <v>-35</v>
      </c>
      <c r="F877">
        <v>10.446482160720199</v>
      </c>
    </row>
    <row r="878" spans="1:6" x14ac:dyDescent="0.25">
      <c r="A878" t="s">
        <v>13</v>
      </c>
      <c r="B878">
        <v>3</v>
      </c>
      <c r="C878">
        <v>3</v>
      </c>
      <c r="D878">
        <v>27</v>
      </c>
      <c r="E878">
        <v>-35</v>
      </c>
      <c r="F878">
        <v>10.512504168055999</v>
      </c>
    </row>
    <row r="879" spans="1:6" x14ac:dyDescent="0.25">
      <c r="A879" t="s">
        <v>13</v>
      </c>
      <c r="B879">
        <v>3</v>
      </c>
      <c r="C879">
        <v>3</v>
      </c>
      <c r="D879">
        <v>27.35</v>
      </c>
      <c r="E879">
        <v>-35</v>
      </c>
      <c r="F879">
        <v>10.380460153384499</v>
      </c>
    </row>
    <row r="880" spans="1:6" x14ac:dyDescent="0.25">
      <c r="A880" t="s">
        <v>13</v>
      </c>
      <c r="B880">
        <v>3</v>
      </c>
      <c r="C880">
        <v>3</v>
      </c>
      <c r="D880">
        <v>27.7</v>
      </c>
      <c r="E880">
        <v>-35</v>
      </c>
      <c r="F880">
        <v>10.2484161387129</v>
      </c>
    </row>
    <row r="881" spans="1:6" x14ac:dyDescent="0.25">
      <c r="A881" t="s">
        <v>13</v>
      </c>
      <c r="B881">
        <v>3</v>
      </c>
      <c r="C881">
        <v>3</v>
      </c>
      <c r="D881">
        <v>28.05</v>
      </c>
      <c r="E881">
        <v>-35</v>
      </c>
      <c r="F881">
        <v>9.5148382794264794</v>
      </c>
    </row>
    <row r="882" spans="1:6" x14ac:dyDescent="0.25">
      <c r="A882" t="s">
        <v>13</v>
      </c>
      <c r="B882">
        <v>3</v>
      </c>
      <c r="C882">
        <v>3</v>
      </c>
      <c r="D882">
        <v>28.4</v>
      </c>
      <c r="E882">
        <v>-35</v>
      </c>
      <c r="F882">
        <v>7.9889963321107098</v>
      </c>
    </row>
    <row r="883" spans="1:6" x14ac:dyDescent="0.25">
      <c r="A883" t="s">
        <v>13</v>
      </c>
      <c r="B883">
        <v>3</v>
      </c>
      <c r="C883">
        <v>3</v>
      </c>
      <c r="D883">
        <v>28.75</v>
      </c>
      <c r="E883">
        <v>-35</v>
      </c>
      <c r="F883">
        <v>3.10336778926309</v>
      </c>
    </row>
    <row r="884" spans="1:6" x14ac:dyDescent="0.25">
      <c r="A884" t="s">
        <v>13</v>
      </c>
      <c r="B884">
        <v>3</v>
      </c>
      <c r="C884">
        <v>3</v>
      </c>
      <c r="D884">
        <v>29.1</v>
      </c>
      <c r="E884">
        <v>-35</v>
      </c>
      <c r="F884">
        <v>2.9639879959986701</v>
      </c>
    </row>
    <row r="885" spans="1:6" x14ac:dyDescent="0.25">
      <c r="A885" t="s">
        <v>13</v>
      </c>
      <c r="B885">
        <v>4</v>
      </c>
      <c r="C885">
        <v>3</v>
      </c>
      <c r="D885">
        <v>33.9</v>
      </c>
      <c r="E885">
        <v>-35</v>
      </c>
      <c r="F885">
        <v>3.2151039928817702</v>
      </c>
    </row>
    <row r="886" spans="1:6" x14ac:dyDescent="0.25">
      <c r="A886" t="s">
        <v>13</v>
      </c>
      <c r="B886">
        <v>4</v>
      </c>
      <c r="C886">
        <v>3</v>
      </c>
      <c r="D886">
        <v>34.25</v>
      </c>
      <c r="E886">
        <v>-35</v>
      </c>
      <c r="F886">
        <v>3.25180736291848</v>
      </c>
    </row>
    <row r="887" spans="1:6" x14ac:dyDescent="0.25">
      <c r="A887" t="s">
        <v>13</v>
      </c>
      <c r="B887">
        <v>4</v>
      </c>
      <c r="C887">
        <v>3</v>
      </c>
      <c r="D887">
        <v>34.6</v>
      </c>
      <c r="E887">
        <v>-35</v>
      </c>
      <c r="F887">
        <v>3.4133021910799699</v>
      </c>
    </row>
    <row r="888" spans="1:6" x14ac:dyDescent="0.25">
      <c r="A888" t="s">
        <v>13</v>
      </c>
      <c r="B888">
        <v>4</v>
      </c>
      <c r="C888">
        <v>3</v>
      </c>
      <c r="D888">
        <v>34.950000000000003</v>
      </c>
      <c r="E888">
        <v>-35</v>
      </c>
      <c r="F888">
        <v>9.3519074630185806</v>
      </c>
    </row>
    <row r="889" spans="1:6" x14ac:dyDescent="0.25">
      <c r="A889" t="s">
        <v>13</v>
      </c>
      <c r="B889">
        <v>4</v>
      </c>
      <c r="C889">
        <v>3</v>
      </c>
      <c r="D889">
        <v>35.299999999999997</v>
      </c>
      <c r="E889">
        <v>-35</v>
      </c>
      <c r="F889">
        <v>10.519074630185701</v>
      </c>
    </row>
    <row r="890" spans="1:6" x14ac:dyDescent="0.25">
      <c r="A890" t="s">
        <v>13</v>
      </c>
      <c r="B890">
        <v>4</v>
      </c>
      <c r="C890">
        <v>3</v>
      </c>
      <c r="D890">
        <v>35.65</v>
      </c>
      <c r="E890">
        <v>-35</v>
      </c>
      <c r="F890">
        <v>10.6145033922812</v>
      </c>
    </row>
    <row r="891" spans="1:6" x14ac:dyDescent="0.25">
      <c r="A891" t="s">
        <v>13</v>
      </c>
      <c r="B891">
        <v>4</v>
      </c>
      <c r="C891">
        <v>3</v>
      </c>
      <c r="D891">
        <v>36</v>
      </c>
      <c r="E891">
        <v>-35</v>
      </c>
      <c r="F891">
        <v>10.548437326215099</v>
      </c>
    </row>
    <row r="892" spans="1:6" x14ac:dyDescent="0.25">
      <c r="A892" t="s">
        <v>13</v>
      </c>
      <c r="B892">
        <v>4</v>
      </c>
      <c r="C892">
        <v>3</v>
      </c>
      <c r="D892">
        <v>36.35</v>
      </c>
      <c r="E892">
        <v>-35</v>
      </c>
      <c r="F892">
        <v>10.453008564119701</v>
      </c>
    </row>
    <row r="893" spans="1:6" x14ac:dyDescent="0.25">
      <c r="A893" t="s">
        <v>13</v>
      </c>
      <c r="B893">
        <v>4</v>
      </c>
      <c r="C893">
        <v>3</v>
      </c>
      <c r="D893">
        <v>36.700000000000003</v>
      </c>
      <c r="E893">
        <v>-35</v>
      </c>
      <c r="F893">
        <v>10.284173061950799</v>
      </c>
    </row>
    <row r="894" spans="1:6" x14ac:dyDescent="0.25">
      <c r="A894" t="s">
        <v>13</v>
      </c>
      <c r="B894">
        <v>4</v>
      </c>
      <c r="C894">
        <v>3</v>
      </c>
      <c r="D894">
        <v>37.049999999999997</v>
      </c>
      <c r="E894">
        <v>-35</v>
      </c>
      <c r="F894">
        <v>8.6251807362918491</v>
      </c>
    </row>
    <row r="895" spans="1:6" x14ac:dyDescent="0.25">
      <c r="A895" t="s">
        <v>13</v>
      </c>
      <c r="B895">
        <v>4</v>
      </c>
      <c r="C895">
        <v>3</v>
      </c>
      <c r="D895">
        <v>37.4</v>
      </c>
      <c r="E895">
        <v>-35</v>
      </c>
      <c r="F895">
        <v>2.78934490045601</v>
      </c>
    </row>
    <row r="896" spans="1:6" x14ac:dyDescent="0.25">
      <c r="A896" t="s">
        <v>13</v>
      </c>
      <c r="B896">
        <v>4</v>
      </c>
      <c r="C896">
        <v>3</v>
      </c>
      <c r="D896">
        <v>37.75</v>
      </c>
      <c r="E896">
        <v>-35</v>
      </c>
      <c r="F896">
        <v>2.78934490045601</v>
      </c>
    </row>
    <row r="897" spans="1:6" x14ac:dyDescent="0.25">
      <c r="A897" t="s">
        <v>13</v>
      </c>
      <c r="B897">
        <v>4</v>
      </c>
      <c r="C897">
        <v>3</v>
      </c>
      <c r="D897">
        <v>38.1</v>
      </c>
      <c r="E897">
        <v>-35</v>
      </c>
      <c r="F897">
        <v>2.9875430986542102</v>
      </c>
    </row>
    <row r="898" spans="1:6" x14ac:dyDescent="0.25">
      <c r="A898" t="s">
        <v>13</v>
      </c>
      <c r="B898">
        <v>5</v>
      </c>
      <c r="C898">
        <v>3</v>
      </c>
      <c r="D898">
        <v>42.9</v>
      </c>
      <c r="E898">
        <v>-35</v>
      </c>
      <c r="F898">
        <v>3.18719646799117</v>
      </c>
    </row>
    <row r="899" spans="1:6" x14ac:dyDescent="0.25">
      <c r="A899" t="s">
        <v>13</v>
      </c>
      <c r="B899">
        <v>5</v>
      </c>
      <c r="C899">
        <v>3</v>
      </c>
      <c r="D899">
        <v>43.25</v>
      </c>
      <c r="E899">
        <v>-35</v>
      </c>
      <c r="F899">
        <v>3.1580573951434898</v>
      </c>
    </row>
    <row r="900" spans="1:6" x14ac:dyDescent="0.25">
      <c r="A900" t="s">
        <v>13</v>
      </c>
      <c r="B900">
        <v>5</v>
      </c>
      <c r="C900">
        <v>3</v>
      </c>
      <c r="D900">
        <v>43.6</v>
      </c>
      <c r="E900">
        <v>-35</v>
      </c>
      <c r="F900">
        <v>3.18719646799117</v>
      </c>
    </row>
    <row r="901" spans="1:6" x14ac:dyDescent="0.25">
      <c r="A901" t="s">
        <v>13</v>
      </c>
      <c r="B901">
        <v>5</v>
      </c>
      <c r="C901">
        <v>3</v>
      </c>
      <c r="D901">
        <v>43.95</v>
      </c>
      <c r="E901">
        <v>-35</v>
      </c>
      <c r="F901">
        <v>9.6123620309050803</v>
      </c>
    </row>
    <row r="902" spans="1:6" x14ac:dyDescent="0.25">
      <c r="A902" t="s">
        <v>13</v>
      </c>
      <c r="B902">
        <v>5</v>
      </c>
      <c r="C902">
        <v>3</v>
      </c>
      <c r="D902">
        <v>44.3</v>
      </c>
      <c r="E902">
        <v>-35</v>
      </c>
      <c r="F902">
        <v>10.3044150110375</v>
      </c>
    </row>
    <row r="903" spans="1:6" x14ac:dyDescent="0.25">
      <c r="A903" t="s">
        <v>13</v>
      </c>
      <c r="B903">
        <v>5</v>
      </c>
      <c r="C903">
        <v>3</v>
      </c>
      <c r="D903">
        <v>44.65</v>
      </c>
      <c r="E903">
        <v>-35</v>
      </c>
      <c r="F903">
        <v>10.5011037527594</v>
      </c>
    </row>
    <row r="904" spans="1:6" x14ac:dyDescent="0.25">
      <c r="A904" t="s">
        <v>13</v>
      </c>
      <c r="B904">
        <v>5</v>
      </c>
      <c r="C904">
        <v>3</v>
      </c>
      <c r="D904">
        <v>45</v>
      </c>
      <c r="E904">
        <v>-35</v>
      </c>
      <c r="F904">
        <v>10.4646799116998</v>
      </c>
    </row>
    <row r="905" spans="1:6" x14ac:dyDescent="0.25">
      <c r="A905" t="s">
        <v>13</v>
      </c>
      <c r="B905">
        <v>5</v>
      </c>
      <c r="C905">
        <v>3</v>
      </c>
      <c r="D905">
        <v>45.35</v>
      </c>
      <c r="E905">
        <v>-35</v>
      </c>
      <c r="F905">
        <v>10.3044150110375</v>
      </c>
    </row>
    <row r="906" spans="1:6" x14ac:dyDescent="0.25">
      <c r="A906" t="s">
        <v>13</v>
      </c>
      <c r="B906">
        <v>5</v>
      </c>
      <c r="C906">
        <v>3</v>
      </c>
      <c r="D906">
        <v>45.7</v>
      </c>
      <c r="E906">
        <v>-35</v>
      </c>
      <c r="F906">
        <v>9.7726269315673306</v>
      </c>
    </row>
    <row r="907" spans="1:6" x14ac:dyDescent="0.25">
      <c r="A907" t="s">
        <v>13</v>
      </c>
      <c r="B907">
        <v>5</v>
      </c>
      <c r="C907">
        <v>3</v>
      </c>
      <c r="D907">
        <v>46.05</v>
      </c>
      <c r="E907">
        <v>-35</v>
      </c>
      <c r="F907">
        <v>8.2282560706401693</v>
      </c>
    </row>
    <row r="908" spans="1:6" x14ac:dyDescent="0.25">
      <c r="A908" t="s">
        <v>13</v>
      </c>
      <c r="B908">
        <v>5</v>
      </c>
      <c r="C908">
        <v>3</v>
      </c>
      <c r="D908">
        <v>46.4</v>
      </c>
      <c r="E908">
        <v>-35</v>
      </c>
      <c r="F908">
        <v>2.9905077262693101</v>
      </c>
    </row>
    <row r="909" spans="1:6" x14ac:dyDescent="0.25">
      <c r="A909" t="s">
        <v>13</v>
      </c>
      <c r="B909">
        <v>5</v>
      </c>
      <c r="C909">
        <v>3</v>
      </c>
      <c r="D909">
        <v>46.75</v>
      </c>
      <c r="E909">
        <v>-35</v>
      </c>
      <c r="F909">
        <v>2.8593818984547399</v>
      </c>
    </row>
    <row r="910" spans="1:6" x14ac:dyDescent="0.25">
      <c r="A910" t="s">
        <v>13</v>
      </c>
      <c r="B910">
        <v>5</v>
      </c>
      <c r="C910">
        <v>3</v>
      </c>
      <c r="D910">
        <v>47.1</v>
      </c>
      <c r="E910">
        <v>-35</v>
      </c>
      <c r="F910">
        <v>3.0269315673289201</v>
      </c>
    </row>
    <row r="911" spans="1:6" x14ac:dyDescent="0.25">
      <c r="A911" t="s">
        <v>13</v>
      </c>
      <c r="B911">
        <v>6</v>
      </c>
      <c r="C911">
        <v>3</v>
      </c>
      <c r="D911">
        <v>51.9</v>
      </c>
      <c r="E911">
        <v>-35</v>
      </c>
      <c r="F911">
        <v>3.4270486342438402</v>
      </c>
    </row>
    <row r="912" spans="1:6" x14ac:dyDescent="0.25">
      <c r="A912" t="s">
        <v>13</v>
      </c>
      <c r="B912">
        <v>6</v>
      </c>
      <c r="C912">
        <v>3</v>
      </c>
      <c r="D912">
        <v>52.25</v>
      </c>
      <c r="E912">
        <v>-35</v>
      </c>
      <c r="F912">
        <v>8.5789473684210495</v>
      </c>
    </row>
    <row r="913" spans="1:6" x14ac:dyDescent="0.25">
      <c r="A913" t="s">
        <v>13</v>
      </c>
      <c r="B913">
        <v>6</v>
      </c>
      <c r="C913">
        <v>3</v>
      </c>
      <c r="D913">
        <v>52.6</v>
      </c>
      <c r="E913">
        <v>-35</v>
      </c>
      <c r="F913">
        <v>9.9420386409060608</v>
      </c>
    </row>
    <row r="914" spans="1:6" x14ac:dyDescent="0.25">
      <c r="A914" t="s">
        <v>13</v>
      </c>
      <c r="B914">
        <v>6</v>
      </c>
      <c r="C914">
        <v>3</v>
      </c>
      <c r="D914">
        <v>52.95</v>
      </c>
      <c r="E914">
        <v>-35</v>
      </c>
      <c r="F914">
        <v>10.5063291139241</v>
      </c>
    </row>
    <row r="915" spans="1:6" x14ac:dyDescent="0.25">
      <c r="A915" t="s">
        <v>13</v>
      </c>
      <c r="B915">
        <v>6</v>
      </c>
      <c r="C915">
        <v>3</v>
      </c>
      <c r="D915">
        <v>53.3</v>
      </c>
      <c r="E915">
        <v>-35</v>
      </c>
      <c r="F915">
        <v>10.7041972018654</v>
      </c>
    </row>
    <row r="916" spans="1:6" x14ac:dyDescent="0.25">
      <c r="A916" t="s">
        <v>13</v>
      </c>
      <c r="B916">
        <v>6</v>
      </c>
      <c r="C916">
        <v>3</v>
      </c>
      <c r="D916">
        <v>53.65</v>
      </c>
      <c r="E916">
        <v>-35</v>
      </c>
      <c r="F916">
        <v>10.770153231179201</v>
      </c>
    </row>
    <row r="917" spans="1:6" x14ac:dyDescent="0.25">
      <c r="A917" t="s">
        <v>13</v>
      </c>
      <c r="B917">
        <v>6</v>
      </c>
      <c r="C917">
        <v>3</v>
      </c>
      <c r="D917">
        <v>54</v>
      </c>
      <c r="E917">
        <v>-35</v>
      </c>
      <c r="F917">
        <v>10.6382411725516</v>
      </c>
    </row>
    <row r="918" spans="1:6" x14ac:dyDescent="0.25">
      <c r="A918" t="s">
        <v>13</v>
      </c>
      <c r="B918">
        <v>6</v>
      </c>
      <c r="C918">
        <v>3</v>
      </c>
      <c r="D918">
        <v>54.35</v>
      </c>
      <c r="E918">
        <v>-35</v>
      </c>
      <c r="F918">
        <v>10.4696868754164</v>
      </c>
    </row>
    <row r="919" spans="1:6" x14ac:dyDescent="0.25">
      <c r="A919" t="s">
        <v>13</v>
      </c>
      <c r="B919">
        <v>6</v>
      </c>
      <c r="C919">
        <v>3</v>
      </c>
      <c r="D919">
        <v>54.7</v>
      </c>
      <c r="E919">
        <v>-35</v>
      </c>
      <c r="F919">
        <v>9.9053964023984005</v>
      </c>
    </row>
    <row r="920" spans="1:6" x14ac:dyDescent="0.25">
      <c r="A920" t="s">
        <v>13</v>
      </c>
      <c r="B920">
        <v>6</v>
      </c>
      <c r="C920">
        <v>3</v>
      </c>
      <c r="D920">
        <v>55.05</v>
      </c>
      <c r="E920">
        <v>-35</v>
      </c>
      <c r="F920">
        <v>8.2125249833444407</v>
      </c>
    </row>
    <row r="921" spans="1:6" x14ac:dyDescent="0.25">
      <c r="A921" t="s">
        <v>13</v>
      </c>
      <c r="B921">
        <v>6</v>
      </c>
      <c r="C921">
        <v>3</v>
      </c>
      <c r="D921">
        <v>55.4</v>
      </c>
      <c r="E921">
        <v>-35</v>
      </c>
      <c r="F921">
        <v>6.4170552964690204</v>
      </c>
    </row>
    <row r="922" spans="1:6" x14ac:dyDescent="0.25">
      <c r="A922" t="s">
        <v>13</v>
      </c>
      <c r="B922">
        <v>6</v>
      </c>
      <c r="C922">
        <v>3</v>
      </c>
      <c r="D922">
        <v>55.75</v>
      </c>
      <c r="E922">
        <v>-35</v>
      </c>
      <c r="F922">
        <v>3.1558960692871398</v>
      </c>
    </row>
    <row r="923" spans="1:6" x14ac:dyDescent="0.25">
      <c r="A923" t="s">
        <v>13</v>
      </c>
      <c r="B923">
        <v>6</v>
      </c>
      <c r="C923">
        <v>3</v>
      </c>
      <c r="D923">
        <v>56.1</v>
      </c>
      <c r="E923">
        <v>-35</v>
      </c>
      <c r="F923">
        <v>3.1558960692871398</v>
      </c>
    </row>
    <row r="924" spans="1:6" x14ac:dyDescent="0.25">
      <c r="A924" t="s">
        <v>13</v>
      </c>
      <c r="B924">
        <v>7</v>
      </c>
      <c r="C924">
        <v>3</v>
      </c>
      <c r="D924">
        <v>61.25</v>
      </c>
      <c r="E924">
        <v>-35</v>
      </c>
      <c r="F924">
        <v>9.7696929238985302</v>
      </c>
    </row>
    <row r="925" spans="1:6" x14ac:dyDescent="0.25">
      <c r="A925" t="s">
        <v>13</v>
      </c>
      <c r="B925">
        <v>7</v>
      </c>
      <c r="C925">
        <v>3</v>
      </c>
      <c r="D925">
        <v>61.6</v>
      </c>
      <c r="E925">
        <v>-35</v>
      </c>
      <c r="F925">
        <v>10.239652870494</v>
      </c>
    </row>
    <row r="926" spans="1:6" x14ac:dyDescent="0.25">
      <c r="A926" t="s">
        <v>13</v>
      </c>
      <c r="B926">
        <v>7</v>
      </c>
      <c r="C926">
        <v>3</v>
      </c>
      <c r="D926">
        <v>61.95</v>
      </c>
      <c r="E926">
        <v>-35</v>
      </c>
      <c r="F926">
        <v>10.577436582109501</v>
      </c>
    </row>
    <row r="927" spans="1:6" x14ac:dyDescent="0.25">
      <c r="A927" t="s">
        <v>13</v>
      </c>
      <c r="B927">
        <v>7</v>
      </c>
      <c r="C927">
        <v>3</v>
      </c>
      <c r="D927">
        <v>62.3</v>
      </c>
      <c r="E927">
        <v>-35</v>
      </c>
      <c r="F927">
        <v>10.680240320427201</v>
      </c>
    </row>
    <row r="928" spans="1:6" x14ac:dyDescent="0.25">
      <c r="A928" t="s">
        <v>13</v>
      </c>
      <c r="B928">
        <v>7</v>
      </c>
      <c r="C928">
        <v>3</v>
      </c>
      <c r="D928">
        <v>62.65</v>
      </c>
      <c r="E928">
        <v>-35</v>
      </c>
      <c r="F928">
        <v>10.7096128170894</v>
      </c>
    </row>
    <row r="929" spans="1:6" x14ac:dyDescent="0.25">
      <c r="A929" t="s">
        <v>13</v>
      </c>
      <c r="B929">
        <v>7</v>
      </c>
      <c r="C929">
        <v>3</v>
      </c>
      <c r="D929">
        <v>63</v>
      </c>
      <c r="E929">
        <v>-35</v>
      </c>
      <c r="F929">
        <v>10.577436582109501</v>
      </c>
    </row>
    <row r="930" spans="1:6" x14ac:dyDescent="0.25">
      <c r="A930" t="s">
        <v>13</v>
      </c>
      <c r="B930">
        <v>7</v>
      </c>
      <c r="C930">
        <v>3</v>
      </c>
      <c r="D930">
        <v>63.35</v>
      </c>
      <c r="E930">
        <v>-35</v>
      </c>
      <c r="F930">
        <v>10.0707610146862</v>
      </c>
    </row>
    <row r="931" spans="1:6" x14ac:dyDescent="0.25">
      <c r="A931" t="s">
        <v>13</v>
      </c>
      <c r="B931">
        <v>7</v>
      </c>
      <c r="C931">
        <v>3</v>
      </c>
      <c r="D931">
        <v>63.7</v>
      </c>
      <c r="E931">
        <v>-35</v>
      </c>
      <c r="F931">
        <v>9.2630173564753004</v>
      </c>
    </row>
    <row r="932" spans="1:6" x14ac:dyDescent="0.25">
      <c r="A932" t="s">
        <v>13</v>
      </c>
      <c r="B932">
        <v>7</v>
      </c>
      <c r="C932">
        <v>3</v>
      </c>
      <c r="D932">
        <v>64.05</v>
      </c>
      <c r="E932">
        <v>-35</v>
      </c>
      <c r="F932">
        <v>7.5080106809078702</v>
      </c>
    </row>
    <row r="933" spans="1:6" x14ac:dyDescent="0.25">
      <c r="A933" t="s">
        <v>13</v>
      </c>
      <c r="B933">
        <v>7</v>
      </c>
      <c r="C933">
        <v>3</v>
      </c>
      <c r="D933">
        <v>64.400000000000006</v>
      </c>
      <c r="E933">
        <v>-35</v>
      </c>
      <c r="F933">
        <v>5.8558077436582101</v>
      </c>
    </row>
    <row r="934" spans="1:6" x14ac:dyDescent="0.25">
      <c r="A934" t="s">
        <v>13</v>
      </c>
      <c r="B934">
        <v>7</v>
      </c>
      <c r="C934">
        <v>3</v>
      </c>
      <c r="D934">
        <v>64.75</v>
      </c>
      <c r="E934">
        <v>-35</v>
      </c>
      <c r="F934">
        <v>3.79238985313751</v>
      </c>
    </row>
    <row r="935" spans="1:6" x14ac:dyDescent="0.25">
      <c r="A935" t="s">
        <v>13</v>
      </c>
      <c r="B935">
        <v>7</v>
      </c>
      <c r="C935">
        <v>3</v>
      </c>
      <c r="D935">
        <v>65.099999999999994</v>
      </c>
      <c r="E935">
        <v>-35</v>
      </c>
      <c r="F935">
        <v>3.2196261682242899</v>
      </c>
    </row>
    <row r="936" spans="1:6" x14ac:dyDescent="0.25">
      <c r="A936" t="s">
        <v>13</v>
      </c>
      <c r="B936">
        <v>0</v>
      </c>
      <c r="C936">
        <v>2</v>
      </c>
      <c r="D936">
        <v>-2.1</v>
      </c>
      <c r="E936">
        <v>-26</v>
      </c>
      <c r="F936">
        <v>3.1970454293013399</v>
      </c>
    </row>
    <row r="937" spans="1:6" x14ac:dyDescent="0.25">
      <c r="A937" t="s">
        <v>13</v>
      </c>
      <c r="B937">
        <v>0</v>
      </c>
      <c r="C937">
        <v>2</v>
      </c>
      <c r="D937">
        <v>-1.75</v>
      </c>
      <c r="E937">
        <v>-26</v>
      </c>
      <c r="F937">
        <v>8.0500944129734506</v>
      </c>
    </row>
    <row r="938" spans="1:6" x14ac:dyDescent="0.25">
      <c r="A938" t="s">
        <v>13</v>
      </c>
      <c r="B938">
        <v>0</v>
      </c>
      <c r="C938">
        <v>2</v>
      </c>
      <c r="D938">
        <v>-1.4</v>
      </c>
      <c r="E938">
        <v>-26</v>
      </c>
      <c r="F938">
        <v>9.1277351993779892</v>
      </c>
    </row>
    <row r="939" spans="1:6" x14ac:dyDescent="0.25">
      <c r="A939" t="s">
        <v>13</v>
      </c>
      <c r="B939">
        <v>0</v>
      </c>
      <c r="C939">
        <v>2</v>
      </c>
      <c r="D939">
        <v>-1.05</v>
      </c>
      <c r="E939">
        <v>-26</v>
      </c>
      <c r="F939">
        <v>9.8388315006109099</v>
      </c>
    </row>
    <row r="940" spans="1:6" x14ac:dyDescent="0.25">
      <c r="A940" t="s">
        <v>13</v>
      </c>
      <c r="B940">
        <v>0</v>
      </c>
      <c r="C940">
        <v>2</v>
      </c>
      <c r="D940">
        <v>-0.7</v>
      </c>
      <c r="E940">
        <v>-26</v>
      </c>
      <c r="F940">
        <v>10.2420304342997</v>
      </c>
    </row>
    <row r="941" spans="1:6" x14ac:dyDescent="0.25">
      <c r="A941" t="s">
        <v>13</v>
      </c>
      <c r="B941">
        <v>0</v>
      </c>
      <c r="C941">
        <v>2</v>
      </c>
      <c r="D941">
        <v>-0.35</v>
      </c>
      <c r="E941">
        <v>-26</v>
      </c>
      <c r="F941">
        <v>10.4766189048095</v>
      </c>
    </row>
    <row r="942" spans="1:6" x14ac:dyDescent="0.25">
      <c r="A942" t="s">
        <v>13</v>
      </c>
      <c r="B942">
        <v>0</v>
      </c>
      <c r="C942">
        <v>2</v>
      </c>
      <c r="D942" s="1">
        <v>-4.4408920985006301E-16</v>
      </c>
      <c r="E942">
        <v>-26</v>
      </c>
      <c r="F942">
        <v>10.579251360657601</v>
      </c>
    </row>
    <row r="943" spans="1:6" x14ac:dyDescent="0.25">
      <c r="A943" t="s">
        <v>13</v>
      </c>
      <c r="B943">
        <v>0</v>
      </c>
      <c r="C943">
        <v>2</v>
      </c>
      <c r="D943">
        <v>0.35</v>
      </c>
      <c r="E943">
        <v>-26</v>
      </c>
      <c r="F943">
        <v>10.6085749194713</v>
      </c>
    </row>
    <row r="944" spans="1:6" x14ac:dyDescent="0.25">
      <c r="A944" t="s">
        <v>13</v>
      </c>
      <c r="B944">
        <v>0</v>
      </c>
      <c r="C944">
        <v>2</v>
      </c>
      <c r="D944">
        <v>0.7</v>
      </c>
      <c r="E944">
        <v>-26</v>
      </c>
      <c r="F944">
        <v>10.579251360657601</v>
      </c>
    </row>
    <row r="945" spans="1:6" x14ac:dyDescent="0.25">
      <c r="A945" t="s">
        <v>13</v>
      </c>
      <c r="B945">
        <v>0</v>
      </c>
      <c r="C945">
        <v>2</v>
      </c>
      <c r="D945">
        <v>1.05</v>
      </c>
      <c r="E945">
        <v>-26</v>
      </c>
      <c r="F945">
        <v>10.373986448961499</v>
      </c>
    </row>
    <row r="946" spans="1:6" x14ac:dyDescent="0.25">
      <c r="A946" t="s">
        <v>13</v>
      </c>
      <c r="B946">
        <v>0</v>
      </c>
      <c r="C946">
        <v>2</v>
      </c>
      <c r="D946">
        <v>1.4</v>
      </c>
      <c r="E946">
        <v>-26</v>
      </c>
      <c r="F946">
        <v>9.9707875152726899</v>
      </c>
    </row>
    <row r="947" spans="1:6" x14ac:dyDescent="0.25">
      <c r="A947" t="s">
        <v>13</v>
      </c>
      <c r="B947">
        <v>0</v>
      </c>
      <c r="C947">
        <v>2</v>
      </c>
      <c r="D947">
        <v>1.75</v>
      </c>
      <c r="E947">
        <v>-26</v>
      </c>
      <c r="F947">
        <v>8.3873153393313302</v>
      </c>
    </row>
    <row r="948" spans="1:6" x14ac:dyDescent="0.25">
      <c r="A948" t="s">
        <v>13</v>
      </c>
      <c r="B948">
        <v>0</v>
      </c>
      <c r="C948">
        <v>2</v>
      </c>
      <c r="D948">
        <v>2.1</v>
      </c>
      <c r="E948">
        <v>-26</v>
      </c>
      <c r="F948">
        <v>5.6235699211374</v>
      </c>
    </row>
    <row r="949" spans="1:6" x14ac:dyDescent="0.25">
      <c r="A949" t="s">
        <v>13</v>
      </c>
      <c r="B949">
        <v>1</v>
      </c>
      <c r="C949">
        <v>2</v>
      </c>
      <c r="D949">
        <v>6.9</v>
      </c>
      <c r="E949">
        <v>-26</v>
      </c>
      <c r="F949">
        <v>3.06786826880285</v>
      </c>
    </row>
    <row r="950" spans="1:6" x14ac:dyDescent="0.25">
      <c r="A950" t="s">
        <v>13</v>
      </c>
      <c r="B950">
        <v>1</v>
      </c>
      <c r="C950">
        <v>2</v>
      </c>
      <c r="D950">
        <v>7.25</v>
      </c>
      <c r="E950">
        <v>-26</v>
      </c>
      <c r="F950">
        <v>3.0384957721406298</v>
      </c>
    </row>
    <row r="951" spans="1:6" x14ac:dyDescent="0.25">
      <c r="A951" t="s">
        <v>13</v>
      </c>
      <c r="B951">
        <v>1</v>
      </c>
      <c r="C951">
        <v>2</v>
      </c>
      <c r="D951">
        <v>7.6</v>
      </c>
      <c r="E951">
        <v>-26</v>
      </c>
      <c r="F951">
        <v>3.2367601246105902</v>
      </c>
    </row>
    <row r="952" spans="1:6" x14ac:dyDescent="0.25">
      <c r="A952" t="s">
        <v>13</v>
      </c>
      <c r="B952">
        <v>1</v>
      </c>
      <c r="C952">
        <v>2</v>
      </c>
      <c r="D952">
        <v>7.95</v>
      </c>
      <c r="E952">
        <v>-26</v>
      </c>
      <c r="F952">
        <v>9.2360925678682708</v>
      </c>
    </row>
    <row r="953" spans="1:6" x14ac:dyDescent="0.25">
      <c r="A953" t="s">
        <v>13</v>
      </c>
      <c r="B953">
        <v>1</v>
      </c>
      <c r="C953">
        <v>2</v>
      </c>
      <c r="D953">
        <v>8.3000000000000007</v>
      </c>
      <c r="E953">
        <v>-26</v>
      </c>
      <c r="F953">
        <v>9.8676012461059202</v>
      </c>
    </row>
    <row r="954" spans="1:6" x14ac:dyDescent="0.25">
      <c r="A954" t="s">
        <v>13</v>
      </c>
      <c r="B954">
        <v>1</v>
      </c>
      <c r="C954">
        <v>2</v>
      </c>
      <c r="D954">
        <v>8.65</v>
      </c>
      <c r="E954">
        <v>-26</v>
      </c>
      <c r="F954">
        <v>10.2053849577214</v>
      </c>
    </row>
    <row r="955" spans="1:6" x14ac:dyDescent="0.25">
      <c r="A955" t="s">
        <v>13</v>
      </c>
      <c r="B955">
        <v>1</v>
      </c>
      <c r="C955">
        <v>2</v>
      </c>
      <c r="D955">
        <v>9</v>
      </c>
      <c r="E955">
        <v>-26</v>
      </c>
      <c r="F955">
        <v>10.234757454383599</v>
      </c>
    </row>
    <row r="956" spans="1:6" x14ac:dyDescent="0.25">
      <c r="A956" t="s">
        <v>13</v>
      </c>
      <c r="B956">
        <v>1</v>
      </c>
      <c r="C956">
        <v>2</v>
      </c>
      <c r="D956">
        <v>9.35</v>
      </c>
      <c r="E956">
        <v>-26</v>
      </c>
      <c r="F956">
        <v>10.168669336893601</v>
      </c>
    </row>
    <row r="957" spans="1:6" x14ac:dyDescent="0.25">
      <c r="A957" t="s">
        <v>13</v>
      </c>
      <c r="B957">
        <v>1</v>
      </c>
      <c r="C957">
        <v>2</v>
      </c>
      <c r="D957">
        <v>9.6999999999999993</v>
      </c>
      <c r="E957">
        <v>-26</v>
      </c>
      <c r="F957">
        <v>9.8382287494437008</v>
      </c>
    </row>
    <row r="958" spans="1:6" x14ac:dyDescent="0.25">
      <c r="A958" t="s">
        <v>13</v>
      </c>
      <c r="B958">
        <v>1</v>
      </c>
      <c r="C958">
        <v>2</v>
      </c>
      <c r="D958">
        <v>10.050000000000001</v>
      </c>
      <c r="E958">
        <v>-26</v>
      </c>
      <c r="F958">
        <v>9.4049844236760105</v>
      </c>
    </row>
    <row r="959" spans="1:6" x14ac:dyDescent="0.25">
      <c r="A959" t="s">
        <v>13</v>
      </c>
      <c r="B959">
        <v>1</v>
      </c>
      <c r="C959">
        <v>2</v>
      </c>
      <c r="D959">
        <v>10.4</v>
      </c>
      <c r="E959">
        <v>-26</v>
      </c>
      <c r="F959">
        <v>7.9657320872274102</v>
      </c>
    </row>
    <row r="960" spans="1:6" x14ac:dyDescent="0.25">
      <c r="A960" t="s">
        <v>13</v>
      </c>
      <c r="B960">
        <v>1</v>
      </c>
      <c r="C960">
        <v>2</v>
      </c>
      <c r="D960">
        <v>10.75</v>
      </c>
      <c r="E960">
        <v>-26</v>
      </c>
      <c r="F960">
        <v>5.3368936359590604</v>
      </c>
    </row>
    <row r="961" spans="1:6" x14ac:dyDescent="0.25">
      <c r="A961" t="s">
        <v>13</v>
      </c>
      <c r="B961">
        <v>1</v>
      </c>
      <c r="C961">
        <v>2</v>
      </c>
      <c r="D961">
        <v>11.1</v>
      </c>
      <c r="E961">
        <v>-26</v>
      </c>
      <c r="F961">
        <v>3.0384957721406298</v>
      </c>
    </row>
    <row r="962" spans="1:6" x14ac:dyDescent="0.25">
      <c r="A962" t="s">
        <v>13</v>
      </c>
      <c r="B962">
        <v>2</v>
      </c>
      <c r="C962">
        <v>2</v>
      </c>
      <c r="D962">
        <v>15.9</v>
      </c>
      <c r="E962">
        <v>-26</v>
      </c>
      <c r="F962">
        <v>3.08177777777777</v>
      </c>
    </row>
    <row r="963" spans="1:6" x14ac:dyDescent="0.25">
      <c r="A963" t="s">
        <v>13</v>
      </c>
      <c r="B963">
        <v>2</v>
      </c>
      <c r="C963">
        <v>2</v>
      </c>
      <c r="D963">
        <v>16.25</v>
      </c>
      <c r="E963">
        <v>-26</v>
      </c>
      <c r="F963">
        <v>3.0524444444444399</v>
      </c>
    </row>
    <row r="964" spans="1:6" x14ac:dyDescent="0.25">
      <c r="A964" t="s">
        <v>13</v>
      </c>
      <c r="B964">
        <v>2</v>
      </c>
      <c r="C964">
        <v>2</v>
      </c>
      <c r="D964">
        <v>16.600000000000001</v>
      </c>
      <c r="E964">
        <v>-26</v>
      </c>
      <c r="F964">
        <v>3.0157777777777701</v>
      </c>
    </row>
    <row r="965" spans="1:6" x14ac:dyDescent="0.25">
      <c r="A965" t="s">
        <v>13</v>
      </c>
      <c r="B965">
        <v>2</v>
      </c>
      <c r="C965">
        <v>2</v>
      </c>
      <c r="D965">
        <v>16.95</v>
      </c>
      <c r="E965">
        <v>-26</v>
      </c>
      <c r="F965">
        <v>3.81511111111111</v>
      </c>
    </row>
    <row r="966" spans="1:6" x14ac:dyDescent="0.25">
      <c r="A966" t="s">
        <v>13</v>
      </c>
      <c r="B966">
        <v>2</v>
      </c>
      <c r="C966">
        <v>2</v>
      </c>
      <c r="D966">
        <v>17.3</v>
      </c>
      <c r="E966">
        <v>-26</v>
      </c>
      <c r="F966">
        <v>9.8504444444444399</v>
      </c>
    </row>
    <row r="967" spans="1:6" x14ac:dyDescent="0.25">
      <c r="A967" t="s">
        <v>13</v>
      </c>
      <c r="B967">
        <v>2</v>
      </c>
      <c r="C967">
        <v>2</v>
      </c>
      <c r="D967">
        <v>17.649999999999999</v>
      </c>
      <c r="E967">
        <v>-26</v>
      </c>
      <c r="F967">
        <v>10.283111111111101</v>
      </c>
    </row>
    <row r="968" spans="1:6" x14ac:dyDescent="0.25">
      <c r="A968" t="s">
        <v>13</v>
      </c>
      <c r="B968">
        <v>2</v>
      </c>
      <c r="C968">
        <v>2</v>
      </c>
      <c r="D968">
        <v>18</v>
      </c>
      <c r="E968">
        <v>-26</v>
      </c>
      <c r="F968">
        <v>10.3491111111111</v>
      </c>
    </row>
    <row r="969" spans="1:6" x14ac:dyDescent="0.25">
      <c r="A969" t="s">
        <v>13</v>
      </c>
      <c r="B969">
        <v>2</v>
      </c>
      <c r="C969">
        <v>2</v>
      </c>
      <c r="D969">
        <v>18.350000000000001</v>
      </c>
      <c r="E969">
        <v>-26</v>
      </c>
      <c r="F969">
        <v>10.3197777777778</v>
      </c>
    </row>
    <row r="970" spans="1:6" x14ac:dyDescent="0.25">
      <c r="A970" t="s">
        <v>13</v>
      </c>
      <c r="B970">
        <v>2</v>
      </c>
      <c r="C970">
        <v>2</v>
      </c>
      <c r="D970">
        <v>18.7</v>
      </c>
      <c r="E970">
        <v>-26</v>
      </c>
      <c r="F970">
        <v>10.253777777777801</v>
      </c>
    </row>
    <row r="971" spans="1:6" x14ac:dyDescent="0.25">
      <c r="A971" t="s">
        <v>13</v>
      </c>
      <c r="B971">
        <v>2</v>
      </c>
      <c r="C971">
        <v>2</v>
      </c>
      <c r="D971">
        <v>19.05</v>
      </c>
      <c r="E971">
        <v>-26</v>
      </c>
      <c r="F971">
        <v>9.8504444444444399</v>
      </c>
    </row>
    <row r="972" spans="1:6" x14ac:dyDescent="0.25">
      <c r="A972" t="s">
        <v>13</v>
      </c>
      <c r="B972">
        <v>2</v>
      </c>
      <c r="C972">
        <v>2</v>
      </c>
      <c r="D972">
        <v>19.399999999999999</v>
      </c>
      <c r="E972">
        <v>-26</v>
      </c>
      <c r="F972">
        <v>7.9291111111111103</v>
      </c>
    </row>
    <row r="973" spans="1:6" x14ac:dyDescent="0.25">
      <c r="A973" t="s">
        <v>13</v>
      </c>
      <c r="B973">
        <v>2</v>
      </c>
      <c r="C973">
        <v>2</v>
      </c>
      <c r="D973">
        <v>19.75</v>
      </c>
      <c r="E973">
        <v>-26</v>
      </c>
      <c r="F973">
        <v>2.4877777777777701</v>
      </c>
    </row>
    <row r="974" spans="1:6" x14ac:dyDescent="0.25">
      <c r="A974" t="s">
        <v>13</v>
      </c>
      <c r="B974">
        <v>2</v>
      </c>
      <c r="C974">
        <v>2</v>
      </c>
      <c r="D974">
        <v>20.100000000000001</v>
      </c>
      <c r="E974">
        <v>-26</v>
      </c>
      <c r="F974">
        <v>2.7884444444444401</v>
      </c>
    </row>
    <row r="975" spans="1:6" x14ac:dyDescent="0.25">
      <c r="A975" t="s">
        <v>13</v>
      </c>
      <c r="B975">
        <v>3</v>
      </c>
      <c r="C975">
        <v>2</v>
      </c>
      <c r="D975">
        <v>24.9</v>
      </c>
      <c r="E975">
        <v>-26</v>
      </c>
      <c r="F975">
        <v>3.06668889629877</v>
      </c>
    </row>
    <row r="976" spans="1:6" x14ac:dyDescent="0.25">
      <c r="A976" t="s">
        <v>13</v>
      </c>
      <c r="B976">
        <v>3</v>
      </c>
      <c r="C976">
        <v>2</v>
      </c>
      <c r="D976">
        <v>25.25</v>
      </c>
      <c r="E976">
        <v>-26</v>
      </c>
      <c r="F976">
        <v>3.0006668889629902</v>
      </c>
    </row>
    <row r="977" spans="1:6" x14ac:dyDescent="0.25">
      <c r="A977" t="s">
        <v>13</v>
      </c>
      <c r="B977">
        <v>3</v>
      </c>
      <c r="C977">
        <v>2</v>
      </c>
      <c r="D977">
        <v>25.6</v>
      </c>
      <c r="E977">
        <v>-26</v>
      </c>
      <c r="F977">
        <v>3.4628209403134398</v>
      </c>
    </row>
    <row r="978" spans="1:6" x14ac:dyDescent="0.25">
      <c r="A978" t="s">
        <v>13</v>
      </c>
      <c r="B978">
        <v>3</v>
      </c>
      <c r="C978">
        <v>2</v>
      </c>
      <c r="D978">
        <v>25.95</v>
      </c>
      <c r="E978">
        <v>-26</v>
      </c>
      <c r="F978">
        <v>8.81793931310437</v>
      </c>
    </row>
    <row r="979" spans="1:6" x14ac:dyDescent="0.25">
      <c r="A979" t="s">
        <v>13</v>
      </c>
      <c r="B979">
        <v>3</v>
      </c>
      <c r="C979">
        <v>2</v>
      </c>
      <c r="D979">
        <v>26.3</v>
      </c>
      <c r="E979">
        <v>-26</v>
      </c>
      <c r="F979">
        <v>10.277759253084399</v>
      </c>
    </row>
    <row r="980" spans="1:6" x14ac:dyDescent="0.25">
      <c r="A980" t="s">
        <v>13</v>
      </c>
      <c r="B980">
        <v>3</v>
      </c>
      <c r="C980">
        <v>2</v>
      </c>
      <c r="D980">
        <v>26.65</v>
      </c>
      <c r="E980">
        <v>-26</v>
      </c>
      <c r="F980">
        <v>10.512504168055999</v>
      </c>
    </row>
    <row r="981" spans="1:6" x14ac:dyDescent="0.25">
      <c r="A981" t="s">
        <v>13</v>
      </c>
      <c r="B981">
        <v>3</v>
      </c>
      <c r="C981">
        <v>2</v>
      </c>
      <c r="D981">
        <v>27</v>
      </c>
      <c r="E981">
        <v>-26</v>
      </c>
      <c r="F981">
        <v>10.541847282427501</v>
      </c>
    </row>
    <row r="982" spans="1:6" x14ac:dyDescent="0.25">
      <c r="A982" t="s">
        <v>13</v>
      </c>
      <c r="B982">
        <v>3</v>
      </c>
      <c r="C982">
        <v>2</v>
      </c>
      <c r="D982">
        <v>27.35</v>
      </c>
      <c r="E982">
        <v>-26</v>
      </c>
      <c r="F982">
        <v>10.409803267755899</v>
      </c>
    </row>
    <row r="983" spans="1:6" x14ac:dyDescent="0.25">
      <c r="A983" t="s">
        <v>13</v>
      </c>
      <c r="B983">
        <v>3</v>
      </c>
      <c r="C983">
        <v>2</v>
      </c>
      <c r="D983">
        <v>27.7</v>
      </c>
      <c r="E983">
        <v>-26</v>
      </c>
      <c r="F983">
        <v>10.314438146048699</v>
      </c>
    </row>
    <row r="984" spans="1:6" x14ac:dyDescent="0.25">
      <c r="A984" t="s">
        <v>13</v>
      </c>
      <c r="B984">
        <v>3</v>
      </c>
      <c r="C984">
        <v>2</v>
      </c>
      <c r="D984">
        <v>28.05</v>
      </c>
      <c r="E984">
        <v>-26</v>
      </c>
      <c r="F984">
        <v>9.8449483161053699</v>
      </c>
    </row>
    <row r="985" spans="1:6" x14ac:dyDescent="0.25">
      <c r="A985" t="s">
        <v>13</v>
      </c>
      <c r="B985">
        <v>3</v>
      </c>
      <c r="C985">
        <v>2</v>
      </c>
      <c r="D985">
        <v>28.4</v>
      </c>
      <c r="E985">
        <v>-26</v>
      </c>
      <c r="F985">
        <v>8.2164054684894996</v>
      </c>
    </row>
    <row r="986" spans="1:6" x14ac:dyDescent="0.25">
      <c r="A986" t="s">
        <v>13</v>
      </c>
      <c r="B986">
        <v>3</v>
      </c>
      <c r="C986">
        <v>2</v>
      </c>
      <c r="D986">
        <v>28.75</v>
      </c>
      <c r="E986">
        <v>-26</v>
      </c>
      <c r="F986">
        <v>3.06668889629877</v>
      </c>
    </row>
    <row r="987" spans="1:6" x14ac:dyDescent="0.25">
      <c r="A987" t="s">
        <v>13</v>
      </c>
      <c r="B987">
        <v>3</v>
      </c>
      <c r="C987">
        <v>2</v>
      </c>
      <c r="D987">
        <v>29.1</v>
      </c>
      <c r="E987">
        <v>-26</v>
      </c>
      <c r="F987">
        <v>2.9639879959986701</v>
      </c>
    </row>
    <row r="988" spans="1:6" x14ac:dyDescent="0.25">
      <c r="A988" t="s">
        <v>13</v>
      </c>
      <c r="B988">
        <v>4</v>
      </c>
      <c r="C988">
        <v>2</v>
      </c>
      <c r="D988">
        <v>33.9</v>
      </c>
      <c r="E988">
        <v>-26</v>
      </c>
      <c r="F988">
        <v>3.1857412968524099</v>
      </c>
    </row>
    <row r="989" spans="1:6" x14ac:dyDescent="0.25">
      <c r="A989" t="s">
        <v>13</v>
      </c>
      <c r="B989">
        <v>4</v>
      </c>
      <c r="C989">
        <v>2</v>
      </c>
      <c r="D989">
        <v>34.25</v>
      </c>
      <c r="E989">
        <v>-26</v>
      </c>
      <c r="F989">
        <v>3.2151039928817702</v>
      </c>
    </row>
    <row r="990" spans="1:6" x14ac:dyDescent="0.25">
      <c r="A990" t="s">
        <v>13</v>
      </c>
      <c r="B990">
        <v>4</v>
      </c>
      <c r="C990">
        <v>2</v>
      </c>
      <c r="D990">
        <v>34.6</v>
      </c>
      <c r="E990">
        <v>-26</v>
      </c>
      <c r="F990">
        <v>3.4133021910799699</v>
      </c>
    </row>
    <row r="991" spans="1:6" x14ac:dyDescent="0.25">
      <c r="A991" t="s">
        <v>13</v>
      </c>
      <c r="B991">
        <v>4</v>
      </c>
      <c r="C991">
        <v>2</v>
      </c>
      <c r="D991">
        <v>34.950000000000003</v>
      </c>
      <c r="E991">
        <v>-26</v>
      </c>
      <c r="F991">
        <v>9.4253142030919808</v>
      </c>
    </row>
    <row r="992" spans="1:6" x14ac:dyDescent="0.25">
      <c r="A992" t="s">
        <v>13</v>
      </c>
      <c r="B992">
        <v>4</v>
      </c>
      <c r="C992">
        <v>2</v>
      </c>
      <c r="D992">
        <v>35.299999999999997</v>
      </c>
      <c r="E992">
        <v>-26</v>
      </c>
      <c r="F992">
        <v>10.3869424980536</v>
      </c>
    </row>
    <row r="993" spans="1:6" x14ac:dyDescent="0.25">
      <c r="A993" t="s">
        <v>13</v>
      </c>
      <c r="B993">
        <v>4</v>
      </c>
      <c r="C993">
        <v>2</v>
      </c>
      <c r="D993">
        <v>35.65</v>
      </c>
      <c r="E993">
        <v>-26</v>
      </c>
      <c r="F993">
        <v>10.482371260149</v>
      </c>
    </row>
    <row r="994" spans="1:6" x14ac:dyDescent="0.25">
      <c r="A994" t="s">
        <v>13</v>
      </c>
      <c r="B994">
        <v>4</v>
      </c>
      <c r="C994">
        <v>2</v>
      </c>
      <c r="D994">
        <v>36</v>
      </c>
      <c r="E994">
        <v>-26</v>
      </c>
      <c r="F994">
        <v>10.548437326215099</v>
      </c>
    </row>
    <row r="995" spans="1:6" x14ac:dyDescent="0.25">
      <c r="A995" t="s">
        <v>13</v>
      </c>
      <c r="B995">
        <v>4</v>
      </c>
      <c r="C995">
        <v>2</v>
      </c>
      <c r="D995">
        <v>36.35</v>
      </c>
      <c r="E995">
        <v>-26</v>
      </c>
      <c r="F995">
        <v>10.453008564119701</v>
      </c>
    </row>
    <row r="996" spans="1:6" x14ac:dyDescent="0.25">
      <c r="A996" t="s">
        <v>13</v>
      </c>
      <c r="B996">
        <v>4</v>
      </c>
      <c r="C996">
        <v>2</v>
      </c>
      <c r="D996">
        <v>36.700000000000003</v>
      </c>
      <c r="E996">
        <v>-26</v>
      </c>
      <c r="F996">
        <v>10.3502391280169</v>
      </c>
    </row>
    <row r="997" spans="1:6" x14ac:dyDescent="0.25">
      <c r="A997" t="s">
        <v>13</v>
      </c>
      <c r="B997">
        <v>4</v>
      </c>
      <c r="C997">
        <v>2</v>
      </c>
      <c r="D997">
        <v>37.049999999999997</v>
      </c>
      <c r="E997">
        <v>-26</v>
      </c>
      <c r="F997">
        <v>9.2564787009231502</v>
      </c>
    </row>
    <row r="998" spans="1:6" x14ac:dyDescent="0.25">
      <c r="A998" t="s">
        <v>13</v>
      </c>
      <c r="B998">
        <v>4</v>
      </c>
      <c r="C998">
        <v>2</v>
      </c>
      <c r="D998">
        <v>37.4</v>
      </c>
      <c r="E998">
        <v>-26</v>
      </c>
      <c r="F998">
        <v>2.8187075964853801</v>
      </c>
    </row>
    <row r="999" spans="1:6" x14ac:dyDescent="0.25">
      <c r="A999" t="s">
        <v>13</v>
      </c>
      <c r="B999">
        <v>4</v>
      </c>
      <c r="C999">
        <v>2</v>
      </c>
      <c r="D999">
        <v>37.75</v>
      </c>
      <c r="E999">
        <v>-26</v>
      </c>
      <c r="F999">
        <v>2.7159381603826098</v>
      </c>
    </row>
    <row r="1000" spans="1:6" x14ac:dyDescent="0.25">
      <c r="A1000" t="s">
        <v>13</v>
      </c>
      <c r="B1000">
        <v>4</v>
      </c>
      <c r="C1000">
        <v>2</v>
      </c>
      <c r="D1000">
        <v>38.1</v>
      </c>
      <c r="E1000">
        <v>-26</v>
      </c>
      <c r="F1000">
        <v>2.88477366255144</v>
      </c>
    </row>
    <row r="1001" spans="1:6" x14ac:dyDescent="0.25">
      <c r="A1001" t="s">
        <v>13</v>
      </c>
      <c r="B1001">
        <v>5</v>
      </c>
      <c r="C1001">
        <v>2</v>
      </c>
      <c r="D1001">
        <v>42.9</v>
      </c>
      <c r="E1001">
        <v>-26</v>
      </c>
      <c r="F1001">
        <v>3.1580573951434898</v>
      </c>
    </row>
    <row r="1002" spans="1:6" x14ac:dyDescent="0.25">
      <c r="A1002" t="s">
        <v>13</v>
      </c>
      <c r="B1002">
        <v>5</v>
      </c>
      <c r="C1002">
        <v>2</v>
      </c>
      <c r="D1002">
        <v>43.25</v>
      </c>
      <c r="E1002">
        <v>-26</v>
      </c>
      <c r="F1002">
        <v>3.18719646799117</v>
      </c>
    </row>
    <row r="1003" spans="1:6" x14ac:dyDescent="0.25">
      <c r="A1003" t="s">
        <v>13</v>
      </c>
      <c r="B1003">
        <v>5</v>
      </c>
      <c r="C1003">
        <v>2</v>
      </c>
      <c r="D1003">
        <v>43.6</v>
      </c>
      <c r="E1003">
        <v>-26</v>
      </c>
      <c r="F1003">
        <v>3.2527593818984499</v>
      </c>
    </row>
    <row r="1004" spans="1:6" x14ac:dyDescent="0.25">
      <c r="A1004" t="s">
        <v>13</v>
      </c>
      <c r="B1004">
        <v>5</v>
      </c>
      <c r="C1004">
        <v>2</v>
      </c>
      <c r="D1004">
        <v>43.95</v>
      </c>
      <c r="E1004">
        <v>-26</v>
      </c>
      <c r="F1004">
        <v>9.6123620309050803</v>
      </c>
    </row>
    <row r="1005" spans="1:6" x14ac:dyDescent="0.25">
      <c r="A1005" t="s">
        <v>13</v>
      </c>
      <c r="B1005">
        <v>5</v>
      </c>
      <c r="C1005">
        <v>2</v>
      </c>
      <c r="D1005">
        <v>44.3</v>
      </c>
      <c r="E1005">
        <v>-26</v>
      </c>
      <c r="F1005">
        <v>10.2388520971302</v>
      </c>
    </row>
    <row r="1006" spans="1:6" x14ac:dyDescent="0.25">
      <c r="A1006" t="s">
        <v>13</v>
      </c>
      <c r="B1006">
        <v>5</v>
      </c>
      <c r="C1006">
        <v>2</v>
      </c>
      <c r="D1006">
        <v>44.65</v>
      </c>
      <c r="E1006">
        <v>-26</v>
      </c>
      <c r="F1006">
        <v>10.4355408388521</v>
      </c>
    </row>
    <row r="1007" spans="1:6" x14ac:dyDescent="0.25">
      <c r="A1007" t="s">
        <v>13</v>
      </c>
      <c r="B1007">
        <v>5</v>
      </c>
      <c r="C1007">
        <v>2</v>
      </c>
      <c r="D1007">
        <v>45</v>
      </c>
      <c r="E1007">
        <v>-26</v>
      </c>
      <c r="F1007">
        <v>10.4355408388521</v>
      </c>
    </row>
    <row r="1008" spans="1:6" x14ac:dyDescent="0.25">
      <c r="A1008" t="s">
        <v>13</v>
      </c>
      <c r="B1008">
        <v>5</v>
      </c>
      <c r="C1008">
        <v>2</v>
      </c>
      <c r="D1008">
        <v>45.35</v>
      </c>
      <c r="E1008">
        <v>-26</v>
      </c>
      <c r="F1008">
        <v>10.267991169977901</v>
      </c>
    </row>
    <row r="1009" spans="1:6" x14ac:dyDescent="0.25">
      <c r="A1009" t="s">
        <v>13</v>
      </c>
      <c r="B1009">
        <v>5</v>
      </c>
      <c r="C1009">
        <v>2</v>
      </c>
      <c r="D1009">
        <v>45.7</v>
      </c>
      <c r="E1009">
        <v>-26</v>
      </c>
      <c r="F1009">
        <v>9.6415011037527591</v>
      </c>
    </row>
    <row r="1010" spans="1:6" x14ac:dyDescent="0.25">
      <c r="A1010" t="s">
        <v>13</v>
      </c>
      <c r="B1010">
        <v>5</v>
      </c>
      <c r="C1010">
        <v>2</v>
      </c>
      <c r="D1010">
        <v>46.05</v>
      </c>
      <c r="E1010">
        <v>-26</v>
      </c>
      <c r="F1010">
        <v>8.1626931567328906</v>
      </c>
    </row>
    <row r="1011" spans="1:6" x14ac:dyDescent="0.25">
      <c r="A1011" t="s">
        <v>13</v>
      </c>
      <c r="B1011">
        <v>5</v>
      </c>
      <c r="C1011">
        <v>2</v>
      </c>
      <c r="D1011">
        <v>46.4</v>
      </c>
      <c r="E1011">
        <v>-26</v>
      </c>
      <c r="F1011">
        <v>2.7646799116997798</v>
      </c>
    </row>
    <row r="1012" spans="1:6" x14ac:dyDescent="0.25">
      <c r="A1012" t="s">
        <v>13</v>
      </c>
      <c r="B1012">
        <v>5</v>
      </c>
      <c r="C1012">
        <v>2</v>
      </c>
      <c r="D1012">
        <v>46.75</v>
      </c>
      <c r="E1012">
        <v>-26</v>
      </c>
      <c r="F1012">
        <v>2.7938189845474599</v>
      </c>
    </row>
    <row r="1013" spans="1:6" x14ac:dyDescent="0.25">
      <c r="A1013" t="s">
        <v>13</v>
      </c>
      <c r="B1013">
        <v>5</v>
      </c>
      <c r="C1013">
        <v>2</v>
      </c>
      <c r="D1013">
        <v>47.1</v>
      </c>
      <c r="E1013">
        <v>-26</v>
      </c>
      <c r="F1013">
        <v>2.9613686534216299</v>
      </c>
    </row>
    <row r="1014" spans="1:6" x14ac:dyDescent="0.25">
      <c r="A1014" t="s">
        <v>13</v>
      </c>
      <c r="B1014">
        <v>6</v>
      </c>
      <c r="C1014">
        <v>2</v>
      </c>
      <c r="D1014">
        <v>51.9</v>
      </c>
      <c r="E1014">
        <v>-26</v>
      </c>
      <c r="F1014">
        <v>3.3610926049300498</v>
      </c>
    </row>
    <row r="1015" spans="1:6" x14ac:dyDescent="0.25">
      <c r="A1015" t="s">
        <v>13</v>
      </c>
      <c r="B1015">
        <v>6</v>
      </c>
      <c r="C1015">
        <v>2</v>
      </c>
      <c r="D1015">
        <v>52.25</v>
      </c>
      <c r="E1015">
        <v>-26</v>
      </c>
      <c r="F1015">
        <v>7.64823451032645</v>
      </c>
    </row>
    <row r="1016" spans="1:6" x14ac:dyDescent="0.25">
      <c r="A1016" t="s">
        <v>13</v>
      </c>
      <c r="B1016">
        <v>6</v>
      </c>
      <c r="C1016">
        <v>2</v>
      </c>
      <c r="D1016">
        <v>52.6</v>
      </c>
      <c r="E1016">
        <v>-26</v>
      </c>
      <c r="F1016">
        <v>9.9420386409060608</v>
      </c>
    </row>
    <row r="1017" spans="1:6" x14ac:dyDescent="0.25">
      <c r="A1017" t="s">
        <v>13</v>
      </c>
      <c r="B1017">
        <v>6</v>
      </c>
      <c r="C1017">
        <v>2</v>
      </c>
      <c r="D1017">
        <v>52.95</v>
      </c>
      <c r="E1017">
        <v>-26</v>
      </c>
      <c r="F1017">
        <v>10.4696868754164</v>
      </c>
    </row>
    <row r="1018" spans="1:6" x14ac:dyDescent="0.25">
      <c r="A1018" t="s">
        <v>13</v>
      </c>
      <c r="B1018">
        <v>6</v>
      </c>
      <c r="C1018">
        <v>2</v>
      </c>
      <c r="D1018">
        <v>53.3</v>
      </c>
      <c r="E1018">
        <v>-26</v>
      </c>
      <c r="F1018">
        <v>10.7041972018654</v>
      </c>
    </row>
    <row r="1019" spans="1:6" x14ac:dyDescent="0.25">
      <c r="A1019" t="s">
        <v>13</v>
      </c>
      <c r="B1019">
        <v>6</v>
      </c>
      <c r="C1019">
        <v>2</v>
      </c>
      <c r="D1019">
        <v>53.65</v>
      </c>
      <c r="E1019">
        <v>-26</v>
      </c>
      <c r="F1019">
        <v>10.7041972018654</v>
      </c>
    </row>
    <row r="1020" spans="1:6" x14ac:dyDescent="0.25">
      <c r="A1020" t="s">
        <v>13</v>
      </c>
      <c r="B1020">
        <v>6</v>
      </c>
      <c r="C1020">
        <v>2</v>
      </c>
      <c r="D1020">
        <v>54</v>
      </c>
      <c r="E1020">
        <v>-26</v>
      </c>
      <c r="F1020">
        <v>10.572285143237799</v>
      </c>
    </row>
    <row r="1021" spans="1:6" x14ac:dyDescent="0.25">
      <c r="A1021" t="s">
        <v>13</v>
      </c>
      <c r="B1021">
        <v>6</v>
      </c>
      <c r="C1021">
        <v>2</v>
      </c>
      <c r="D1021">
        <v>54.35</v>
      </c>
      <c r="E1021">
        <v>-26</v>
      </c>
      <c r="F1021">
        <v>10.4696868754164</v>
      </c>
    </row>
    <row r="1022" spans="1:6" x14ac:dyDescent="0.25">
      <c r="A1022" t="s">
        <v>13</v>
      </c>
      <c r="B1022">
        <v>6</v>
      </c>
      <c r="C1022">
        <v>2</v>
      </c>
      <c r="D1022">
        <v>54.7</v>
      </c>
      <c r="E1022">
        <v>-26</v>
      </c>
      <c r="F1022">
        <v>8.8427714856762201</v>
      </c>
    </row>
    <row r="1023" spans="1:6" x14ac:dyDescent="0.25">
      <c r="A1023" t="s">
        <v>13</v>
      </c>
      <c r="B1023">
        <v>6</v>
      </c>
      <c r="C1023">
        <v>2</v>
      </c>
      <c r="D1023">
        <v>55.05</v>
      </c>
      <c r="E1023">
        <v>-26</v>
      </c>
      <c r="F1023">
        <v>7.51632245169887</v>
      </c>
    </row>
    <row r="1024" spans="1:6" x14ac:dyDescent="0.25">
      <c r="A1024" t="s">
        <v>13</v>
      </c>
      <c r="B1024">
        <v>6</v>
      </c>
      <c r="C1024">
        <v>2</v>
      </c>
      <c r="D1024">
        <v>55.4</v>
      </c>
      <c r="E1024">
        <v>-26</v>
      </c>
      <c r="F1024">
        <v>5.3177881412391796</v>
      </c>
    </row>
    <row r="1025" spans="1:6" x14ac:dyDescent="0.25">
      <c r="A1025" t="s">
        <v>13</v>
      </c>
      <c r="B1025">
        <v>6</v>
      </c>
      <c r="C1025">
        <v>2</v>
      </c>
      <c r="D1025">
        <v>55.75</v>
      </c>
      <c r="E1025">
        <v>-26</v>
      </c>
      <c r="F1025">
        <v>3.0899400399733499</v>
      </c>
    </row>
    <row r="1026" spans="1:6" x14ac:dyDescent="0.25">
      <c r="A1026" t="s">
        <v>13</v>
      </c>
      <c r="B1026">
        <v>6</v>
      </c>
      <c r="C1026">
        <v>2</v>
      </c>
      <c r="D1026">
        <v>56.1</v>
      </c>
      <c r="E1026">
        <v>-26</v>
      </c>
      <c r="F1026">
        <v>3.12658227848102</v>
      </c>
    </row>
    <row r="1027" spans="1:6" x14ac:dyDescent="0.25">
      <c r="A1027" t="s">
        <v>13</v>
      </c>
      <c r="B1027">
        <v>7</v>
      </c>
      <c r="C1027">
        <v>2</v>
      </c>
      <c r="D1027">
        <v>61.25</v>
      </c>
      <c r="E1027">
        <v>-26</v>
      </c>
      <c r="F1027">
        <v>9.7329773030707596</v>
      </c>
    </row>
    <row r="1028" spans="1:6" x14ac:dyDescent="0.25">
      <c r="A1028" t="s">
        <v>13</v>
      </c>
      <c r="B1028">
        <v>7</v>
      </c>
      <c r="C1028">
        <v>2</v>
      </c>
      <c r="D1028">
        <v>61.6</v>
      </c>
      <c r="E1028">
        <v>-26</v>
      </c>
      <c r="F1028">
        <v>10.239652870494</v>
      </c>
    </row>
    <row r="1029" spans="1:6" x14ac:dyDescent="0.25">
      <c r="A1029" t="s">
        <v>13</v>
      </c>
      <c r="B1029">
        <v>7</v>
      </c>
      <c r="C1029">
        <v>2</v>
      </c>
      <c r="D1029">
        <v>61.95</v>
      </c>
      <c r="E1029">
        <v>-26</v>
      </c>
      <c r="F1029">
        <v>10.577436582109501</v>
      </c>
    </row>
    <row r="1030" spans="1:6" x14ac:dyDescent="0.25">
      <c r="A1030" t="s">
        <v>13</v>
      </c>
      <c r="B1030">
        <v>7</v>
      </c>
      <c r="C1030">
        <v>2</v>
      </c>
      <c r="D1030">
        <v>62.3</v>
      </c>
      <c r="E1030">
        <v>-26</v>
      </c>
      <c r="F1030">
        <v>10.680240320427201</v>
      </c>
    </row>
    <row r="1031" spans="1:6" x14ac:dyDescent="0.25">
      <c r="A1031" t="s">
        <v>13</v>
      </c>
      <c r="B1031">
        <v>7</v>
      </c>
      <c r="C1031">
        <v>2</v>
      </c>
      <c r="D1031">
        <v>62.65</v>
      </c>
      <c r="E1031">
        <v>-26</v>
      </c>
      <c r="F1031">
        <v>10.680240320427201</v>
      </c>
    </row>
    <row r="1032" spans="1:6" x14ac:dyDescent="0.25">
      <c r="A1032" t="s">
        <v>13</v>
      </c>
      <c r="B1032">
        <v>7</v>
      </c>
      <c r="C1032">
        <v>2</v>
      </c>
      <c r="D1032">
        <v>63</v>
      </c>
      <c r="E1032">
        <v>-26</v>
      </c>
      <c r="F1032">
        <v>10.6141522029372</v>
      </c>
    </row>
    <row r="1033" spans="1:6" x14ac:dyDescent="0.25">
      <c r="A1033" t="s">
        <v>13</v>
      </c>
      <c r="B1033">
        <v>7</v>
      </c>
      <c r="C1033">
        <v>2</v>
      </c>
      <c r="D1033">
        <v>63.35</v>
      </c>
      <c r="E1033">
        <v>-26</v>
      </c>
      <c r="F1033">
        <v>10.276368491321801</v>
      </c>
    </row>
    <row r="1034" spans="1:6" x14ac:dyDescent="0.25">
      <c r="A1034" t="s">
        <v>13</v>
      </c>
      <c r="B1034">
        <v>7</v>
      </c>
      <c r="C1034">
        <v>2</v>
      </c>
      <c r="D1034">
        <v>63.7</v>
      </c>
      <c r="E1034">
        <v>-26</v>
      </c>
      <c r="F1034">
        <v>9.2923898531375109</v>
      </c>
    </row>
    <row r="1035" spans="1:6" x14ac:dyDescent="0.25">
      <c r="A1035" t="s">
        <v>13</v>
      </c>
      <c r="B1035">
        <v>7</v>
      </c>
      <c r="C1035">
        <v>2</v>
      </c>
      <c r="D1035">
        <v>64.05</v>
      </c>
      <c r="E1035">
        <v>-26</v>
      </c>
      <c r="F1035">
        <v>7.9485981308411198</v>
      </c>
    </row>
    <row r="1036" spans="1:6" x14ac:dyDescent="0.25">
      <c r="A1036" t="s">
        <v>13</v>
      </c>
      <c r="B1036">
        <v>7</v>
      </c>
      <c r="C1036">
        <v>2</v>
      </c>
      <c r="D1036">
        <v>64.400000000000006</v>
      </c>
      <c r="E1036">
        <v>-26</v>
      </c>
      <c r="F1036">
        <v>5.7823765020026698</v>
      </c>
    </row>
    <row r="1037" spans="1:6" x14ac:dyDescent="0.25">
      <c r="A1037" t="s">
        <v>13</v>
      </c>
      <c r="B1037">
        <v>7</v>
      </c>
      <c r="C1037">
        <v>2</v>
      </c>
      <c r="D1037">
        <v>64.75</v>
      </c>
      <c r="E1037">
        <v>-26</v>
      </c>
      <c r="F1037">
        <v>5.5180240320427201</v>
      </c>
    </row>
    <row r="1038" spans="1:6" x14ac:dyDescent="0.25">
      <c r="A1038" t="s">
        <v>13</v>
      </c>
      <c r="B1038">
        <v>7</v>
      </c>
      <c r="C1038">
        <v>2</v>
      </c>
      <c r="D1038">
        <v>65.099999999999994</v>
      </c>
      <c r="E1038">
        <v>-26</v>
      </c>
      <c r="F1038">
        <v>3.2563417890520698</v>
      </c>
    </row>
    <row r="1039" spans="1:6" x14ac:dyDescent="0.25">
      <c r="A1039" t="s">
        <v>13</v>
      </c>
      <c r="B1039">
        <v>0</v>
      </c>
      <c r="C1039">
        <v>1</v>
      </c>
      <c r="D1039">
        <v>-2.1</v>
      </c>
      <c r="E1039">
        <v>-17</v>
      </c>
      <c r="F1039">
        <v>3.1677218704876098</v>
      </c>
    </row>
    <row r="1040" spans="1:6" x14ac:dyDescent="0.25">
      <c r="A1040" t="s">
        <v>13</v>
      </c>
      <c r="B1040">
        <v>0</v>
      </c>
      <c r="C1040">
        <v>1</v>
      </c>
      <c r="D1040">
        <v>-1.75</v>
      </c>
      <c r="E1040">
        <v>-17</v>
      </c>
      <c r="F1040">
        <v>7.8814839497945099</v>
      </c>
    </row>
    <row r="1041" spans="1:6" x14ac:dyDescent="0.25">
      <c r="A1041" t="s">
        <v>13</v>
      </c>
      <c r="B1041">
        <v>0</v>
      </c>
      <c r="C1041">
        <v>1</v>
      </c>
      <c r="D1041">
        <v>-1.4</v>
      </c>
      <c r="E1041">
        <v>-17</v>
      </c>
      <c r="F1041">
        <v>9.0617571920471001</v>
      </c>
    </row>
    <row r="1042" spans="1:6" x14ac:dyDescent="0.25">
      <c r="A1042" t="s">
        <v>13</v>
      </c>
      <c r="B1042">
        <v>0</v>
      </c>
      <c r="C1042">
        <v>1</v>
      </c>
      <c r="D1042">
        <v>-1.05</v>
      </c>
      <c r="E1042">
        <v>-17</v>
      </c>
      <c r="F1042">
        <v>9.7361990447628592</v>
      </c>
    </row>
    <row r="1043" spans="1:6" x14ac:dyDescent="0.25">
      <c r="A1043" t="s">
        <v>13</v>
      </c>
      <c r="B1043">
        <v>0</v>
      </c>
      <c r="C1043">
        <v>1</v>
      </c>
      <c r="D1043">
        <v>-0.7</v>
      </c>
      <c r="E1043">
        <v>-17</v>
      </c>
      <c r="F1043">
        <v>10.2420304342997</v>
      </c>
    </row>
    <row r="1044" spans="1:6" x14ac:dyDescent="0.25">
      <c r="A1044" t="s">
        <v>13</v>
      </c>
      <c r="B1044">
        <v>0</v>
      </c>
      <c r="C1044">
        <v>1</v>
      </c>
      <c r="D1044">
        <v>-0.35</v>
      </c>
      <c r="E1044">
        <v>-17</v>
      </c>
      <c r="F1044">
        <v>10.4399644562923</v>
      </c>
    </row>
    <row r="1045" spans="1:6" x14ac:dyDescent="0.25">
      <c r="A1045" t="s">
        <v>13</v>
      </c>
      <c r="B1045">
        <v>0</v>
      </c>
      <c r="C1045">
        <v>1</v>
      </c>
      <c r="D1045" s="1">
        <v>-4.4408920985006301E-16</v>
      </c>
      <c r="E1045">
        <v>-17</v>
      </c>
      <c r="F1045">
        <v>10.645229367988399</v>
      </c>
    </row>
    <row r="1046" spans="1:6" x14ac:dyDescent="0.25">
      <c r="A1046" t="s">
        <v>13</v>
      </c>
      <c r="B1046">
        <v>0</v>
      </c>
      <c r="C1046">
        <v>1</v>
      </c>
      <c r="D1046">
        <v>0.35</v>
      </c>
      <c r="E1046">
        <v>-17</v>
      </c>
      <c r="F1046">
        <v>10.6085749194713</v>
      </c>
    </row>
    <row r="1047" spans="1:6" x14ac:dyDescent="0.25">
      <c r="A1047" t="s">
        <v>13</v>
      </c>
      <c r="B1047">
        <v>0</v>
      </c>
      <c r="C1047">
        <v>1</v>
      </c>
      <c r="D1047">
        <v>0.7</v>
      </c>
      <c r="E1047">
        <v>-17</v>
      </c>
      <c r="F1047">
        <v>10.579251360657601</v>
      </c>
    </row>
    <row r="1048" spans="1:6" x14ac:dyDescent="0.25">
      <c r="A1048" t="s">
        <v>13</v>
      </c>
      <c r="B1048">
        <v>0</v>
      </c>
      <c r="C1048">
        <v>1</v>
      </c>
      <c r="D1048">
        <v>1.05</v>
      </c>
      <c r="E1048">
        <v>-17</v>
      </c>
      <c r="F1048">
        <v>10.4399644562923</v>
      </c>
    </row>
    <row r="1049" spans="1:6" x14ac:dyDescent="0.25">
      <c r="A1049" t="s">
        <v>13</v>
      </c>
      <c r="B1049">
        <v>0</v>
      </c>
      <c r="C1049">
        <v>1</v>
      </c>
      <c r="D1049">
        <v>1.4</v>
      </c>
      <c r="E1049">
        <v>-17</v>
      </c>
      <c r="F1049">
        <v>10.1760524269688</v>
      </c>
    </row>
    <row r="1050" spans="1:6" x14ac:dyDescent="0.25">
      <c r="A1050" t="s">
        <v>13</v>
      </c>
      <c r="B1050">
        <v>0</v>
      </c>
      <c r="C1050">
        <v>1</v>
      </c>
      <c r="D1050">
        <v>1.75</v>
      </c>
      <c r="E1050">
        <v>-17</v>
      </c>
      <c r="F1050">
        <v>8.7611907142063803</v>
      </c>
    </row>
    <row r="1051" spans="1:6" x14ac:dyDescent="0.25">
      <c r="A1051" t="s">
        <v>13</v>
      </c>
      <c r="B1051">
        <v>0</v>
      </c>
      <c r="C1051">
        <v>1</v>
      </c>
      <c r="D1051">
        <v>2.1</v>
      </c>
      <c r="E1051">
        <v>-17</v>
      </c>
      <c r="F1051">
        <v>6.8038431633899803</v>
      </c>
    </row>
    <row r="1052" spans="1:6" x14ac:dyDescent="0.25">
      <c r="A1052" t="s">
        <v>13</v>
      </c>
      <c r="B1052">
        <v>1</v>
      </c>
      <c r="C1052">
        <v>1</v>
      </c>
      <c r="D1052">
        <v>6.9</v>
      </c>
      <c r="E1052">
        <v>-17</v>
      </c>
      <c r="F1052">
        <v>3.06786826880285</v>
      </c>
    </row>
    <row r="1053" spans="1:6" x14ac:dyDescent="0.25">
      <c r="A1053" t="s">
        <v>13</v>
      </c>
      <c r="B1053">
        <v>1</v>
      </c>
      <c r="C1053">
        <v>1</v>
      </c>
      <c r="D1053">
        <v>7.25</v>
      </c>
      <c r="E1053">
        <v>-17</v>
      </c>
      <c r="F1053">
        <v>3.06786826880285</v>
      </c>
    </row>
    <row r="1054" spans="1:6" x14ac:dyDescent="0.25">
      <c r="A1054" t="s">
        <v>13</v>
      </c>
      <c r="B1054">
        <v>1</v>
      </c>
      <c r="C1054">
        <v>1</v>
      </c>
      <c r="D1054">
        <v>7.6</v>
      </c>
      <c r="E1054">
        <v>-17</v>
      </c>
      <c r="F1054">
        <v>3.2367601246105902</v>
      </c>
    </row>
    <row r="1055" spans="1:6" x14ac:dyDescent="0.25">
      <c r="A1055" t="s">
        <v>13</v>
      </c>
      <c r="B1055">
        <v>1</v>
      </c>
      <c r="C1055">
        <v>1</v>
      </c>
      <c r="D1055">
        <v>7.95</v>
      </c>
      <c r="E1055">
        <v>-17</v>
      </c>
      <c r="F1055">
        <v>9.1039163328882999</v>
      </c>
    </row>
    <row r="1056" spans="1:6" x14ac:dyDescent="0.25">
      <c r="A1056" t="s">
        <v>13</v>
      </c>
      <c r="B1056">
        <v>1</v>
      </c>
      <c r="C1056">
        <v>1</v>
      </c>
      <c r="D1056">
        <v>8.3000000000000007</v>
      </c>
      <c r="E1056">
        <v>-17</v>
      </c>
      <c r="F1056">
        <v>9.8015131286159303</v>
      </c>
    </row>
    <row r="1057" spans="1:6" x14ac:dyDescent="0.25">
      <c r="A1057" t="s">
        <v>13</v>
      </c>
      <c r="B1057">
        <v>1</v>
      </c>
      <c r="C1057">
        <v>1</v>
      </c>
      <c r="D1057">
        <v>8.65</v>
      </c>
      <c r="E1057">
        <v>-17</v>
      </c>
      <c r="F1057">
        <v>10.139296840231401</v>
      </c>
    </row>
    <row r="1058" spans="1:6" x14ac:dyDescent="0.25">
      <c r="A1058" t="s">
        <v>13</v>
      </c>
      <c r="B1058">
        <v>1</v>
      </c>
      <c r="C1058">
        <v>1</v>
      </c>
      <c r="D1058">
        <v>9</v>
      </c>
      <c r="E1058">
        <v>-17</v>
      </c>
      <c r="F1058">
        <v>10.2714730752114</v>
      </c>
    </row>
    <row r="1059" spans="1:6" x14ac:dyDescent="0.25">
      <c r="A1059" t="s">
        <v>13</v>
      </c>
      <c r="B1059">
        <v>1</v>
      </c>
      <c r="C1059">
        <v>1</v>
      </c>
      <c r="D1059">
        <v>9.35</v>
      </c>
      <c r="E1059">
        <v>-17</v>
      </c>
      <c r="F1059">
        <v>10.234757454383599</v>
      </c>
    </row>
    <row r="1060" spans="1:6" x14ac:dyDescent="0.25">
      <c r="A1060" t="s">
        <v>13</v>
      </c>
      <c r="B1060">
        <v>1</v>
      </c>
      <c r="C1060">
        <v>1</v>
      </c>
      <c r="D1060">
        <v>9.6999999999999993</v>
      </c>
      <c r="E1060">
        <v>-17</v>
      </c>
      <c r="F1060">
        <v>9.93368936359591</v>
      </c>
    </row>
    <row r="1061" spans="1:6" x14ac:dyDescent="0.25">
      <c r="A1061" t="s">
        <v>13</v>
      </c>
      <c r="B1061">
        <v>1</v>
      </c>
      <c r="C1061">
        <v>1</v>
      </c>
      <c r="D1061">
        <v>10.050000000000001</v>
      </c>
      <c r="E1061">
        <v>-17</v>
      </c>
      <c r="F1061">
        <v>9.7354250111259493</v>
      </c>
    </row>
    <row r="1062" spans="1:6" x14ac:dyDescent="0.25">
      <c r="A1062" t="s">
        <v>13</v>
      </c>
      <c r="B1062">
        <v>1</v>
      </c>
      <c r="C1062">
        <v>1</v>
      </c>
      <c r="D1062">
        <v>10.4</v>
      </c>
      <c r="E1062">
        <v>-17</v>
      </c>
      <c r="F1062">
        <v>8.4724076546506506</v>
      </c>
    </row>
    <row r="1063" spans="1:6" x14ac:dyDescent="0.25">
      <c r="A1063" t="s">
        <v>13</v>
      </c>
      <c r="B1063">
        <v>1</v>
      </c>
      <c r="C1063">
        <v>1</v>
      </c>
      <c r="D1063">
        <v>10.75</v>
      </c>
      <c r="E1063">
        <v>-17</v>
      </c>
      <c r="F1063">
        <v>5.3368936359590604</v>
      </c>
    </row>
    <row r="1064" spans="1:6" x14ac:dyDescent="0.25">
      <c r="A1064" t="s">
        <v>13</v>
      </c>
      <c r="B1064">
        <v>1</v>
      </c>
      <c r="C1064">
        <v>1</v>
      </c>
      <c r="D1064">
        <v>11.1</v>
      </c>
      <c r="E1064">
        <v>-17</v>
      </c>
      <c r="F1064">
        <v>3.0017801513128601</v>
      </c>
    </row>
    <row r="1065" spans="1:6" x14ac:dyDescent="0.25">
      <c r="A1065" t="s">
        <v>13</v>
      </c>
      <c r="B1065">
        <v>2</v>
      </c>
      <c r="C1065">
        <v>1</v>
      </c>
      <c r="D1065">
        <v>15.9</v>
      </c>
      <c r="E1065">
        <v>-17</v>
      </c>
      <c r="F1065">
        <v>3.0157777777777701</v>
      </c>
    </row>
    <row r="1066" spans="1:6" x14ac:dyDescent="0.25">
      <c r="A1066" t="s">
        <v>13</v>
      </c>
      <c r="B1066">
        <v>2</v>
      </c>
      <c r="C1066">
        <v>1</v>
      </c>
      <c r="D1066">
        <v>16.25</v>
      </c>
      <c r="E1066">
        <v>-17</v>
      </c>
      <c r="F1066">
        <v>3.0157777777777701</v>
      </c>
    </row>
    <row r="1067" spans="1:6" x14ac:dyDescent="0.25">
      <c r="A1067" t="s">
        <v>13</v>
      </c>
      <c r="B1067">
        <v>2</v>
      </c>
      <c r="C1067">
        <v>1</v>
      </c>
      <c r="D1067">
        <v>16.600000000000001</v>
      </c>
      <c r="E1067">
        <v>-17</v>
      </c>
      <c r="F1067">
        <v>3.0157777777777701</v>
      </c>
    </row>
    <row r="1068" spans="1:6" x14ac:dyDescent="0.25">
      <c r="A1068" t="s">
        <v>13</v>
      </c>
      <c r="B1068">
        <v>2</v>
      </c>
      <c r="C1068">
        <v>1</v>
      </c>
      <c r="D1068">
        <v>16.95</v>
      </c>
      <c r="E1068">
        <v>-17</v>
      </c>
      <c r="F1068">
        <v>3.18444444444444</v>
      </c>
    </row>
    <row r="1069" spans="1:6" x14ac:dyDescent="0.25">
      <c r="A1069" t="s">
        <v>13</v>
      </c>
      <c r="B1069">
        <v>2</v>
      </c>
      <c r="C1069">
        <v>1</v>
      </c>
      <c r="D1069">
        <v>17.3</v>
      </c>
      <c r="E1069">
        <v>-17</v>
      </c>
      <c r="F1069">
        <v>9.7551111111111108</v>
      </c>
    </row>
    <row r="1070" spans="1:6" x14ac:dyDescent="0.25">
      <c r="A1070" t="s">
        <v>13</v>
      </c>
      <c r="B1070">
        <v>2</v>
      </c>
      <c r="C1070">
        <v>1</v>
      </c>
      <c r="D1070">
        <v>17.649999999999999</v>
      </c>
      <c r="E1070">
        <v>-17</v>
      </c>
      <c r="F1070">
        <v>10.253777777777801</v>
      </c>
    </row>
    <row r="1071" spans="1:6" x14ac:dyDescent="0.25">
      <c r="A1071" t="s">
        <v>13</v>
      </c>
      <c r="B1071">
        <v>2</v>
      </c>
      <c r="C1071">
        <v>1</v>
      </c>
      <c r="D1071">
        <v>18</v>
      </c>
      <c r="E1071">
        <v>-17</v>
      </c>
      <c r="F1071">
        <v>10.3491111111111</v>
      </c>
    </row>
    <row r="1072" spans="1:6" x14ac:dyDescent="0.25">
      <c r="A1072" t="s">
        <v>13</v>
      </c>
      <c r="B1072">
        <v>2</v>
      </c>
      <c r="C1072">
        <v>1</v>
      </c>
      <c r="D1072">
        <v>18.350000000000001</v>
      </c>
      <c r="E1072">
        <v>-17</v>
      </c>
      <c r="F1072">
        <v>10.3197777777778</v>
      </c>
    </row>
    <row r="1073" spans="1:6" x14ac:dyDescent="0.25">
      <c r="A1073" t="s">
        <v>13</v>
      </c>
      <c r="B1073">
        <v>2</v>
      </c>
      <c r="C1073">
        <v>1</v>
      </c>
      <c r="D1073">
        <v>18.7</v>
      </c>
      <c r="E1073">
        <v>-17</v>
      </c>
      <c r="F1073">
        <v>10.2171111111111</v>
      </c>
    </row>
    <row r="1074" spans="1:6" x14ac:dyDescent="0.25">
      <c r="A1074" t="s">
        <v>13</v>
      </c>
      <c r="B1074">
        <v>2</v>
      </c>
      <c r="C1074">
        <v>1</v>
      </c>
      <c r="D1074">
        <v>19.05</v>
      </c>
      <c r="E1074">
        <v>-17</v>
      </c>
      <c r="F1074">
        <v>9.7844444444444392</v>
      </c>
    </row>
    <row r="1075" spans="1:6" x14ac:dyDescent="0.25">
      <c r="A1075" t="s">
        <v>13</v>
      </c>
      <c r="B1075">
        <v>2</v>
      </c>
      <c r="C1075">
        <v>1</v>
      </c>
      <c r="D1075">
        <v>19.399999999999999</v>
      </c>
      <c r="E1075">
        <v>-17</v>
      </c>
      <c r="F1075">
        <v>7.6651111111111101</v>
      </c>
    </row>
    <row r="1076" spans="1:6" x14ac:dyDescent="0.25">
      <c r="A1076" t="s">
        <v>13</v>
      </c>
      <c r="B1076">
        <v>2</v>
      </c>
      <c r="C1076">
        <v>1</v>
      </c>
      <c r="D1076">
        <v>19.75</v>
      </c>
      <c r="E1076">
        <v>-17</v>
      </c>
      <c r="F1076">
        <v>2.7224444444444398</v>
      </c>
    </row>
    <row r="1077" spans="1:6" x14ac:dyDescent="0.25">
      <c r="A1077" t="s">
        <v>13</v>
      </c>
      <c r="B1077">
        <v>2</v>
      </c>
      <c r="C1077">
        <v>1</v>
      </c>
      <c r="D1077">
        <v>20.100000000000001</v>
      </c>
      <c r="E1077">
        <v>-17</v>
      </c>
      <c r="F1077">
        <v>2.8544444444444399</v>
      </c>
    </row>
    <row r="1078" spans="1:6" x14ac:dyDescent="0.25">
      <c r="A1078" t="s">
        <v>13</v>
      </c>
      <c r="B1078">
        <v>3</v>
      </c>
      <c r="C1078">
        <v>1</v>
      </c>
      <c r="D1078">
        <v>24.9</v>
      </c>
      <c r="E1078">
        <v>-17</v>
      </c>
      <c r="F1078">
        <v>3.0373457819273102</v>
      </c>
    </row>
    <row r="1079" spans="1:6" x14ac:dyDescent="0.25">
      <c r="A1079" t="s">
        <v>13</v>
      </c>
      <c r="B1079">
        <v>3</v>
      </c>
      <c r="C1079">
        <v>1</v>
      </c>
      <c r="D1079">
        <v>25.25</v>
      </c>
      <c r="E1079">
        <v>-17</v>
      </c>
      <c r="F1079">
        <v>3.0006668889629902</v>
      </c>
    </row>
    <row r="1080" spans="1:6" x14ac:dyDescent="0.25">
      <c r="A1080" t="s">
        <v>13</v>
      </c>
      <c r="B1080">
        <v>3</v>
      </c>
      <c r="C1080">
        <v>1</v>
      </c>
      <c r="D1080">
        <v>25.6</v>
      </c>
      <c r="E1080">
        <v>-17</v>
      </c>
      <c r="F1080">
        <v>4.0643547849283097</v>
      </c>
    </row>
    <row r="1081" spans="1:6" x14ac:dyDescent="0.25">
      <c r="A1081" t="s">
        <v>13</v>
      </c>
      <c r="B1081">
        <v>3</v>
      </c>
      <c r="C1081">
        <v>1</v>
      </c>
      <c r="D1081">
        <v>25.95</v>
      </c>
      <c r="E1081">
        <v>-17</v>
      </c>
      <c r="F1081">
        <v>9.1847282427475907</v>
      </c>
    </row>
    <row r="1082" spans="1:6" x14ac:dyDescent="0.25">
      <c r="A1082" t="s">
        <v>13</v>
      </c>
      <c r="B1082">
        <v>3</v>
      </c>
      <c r="C1082">
        <v>1</v>
      </c>
      <c r="D1082">
        <v>26.3</v>
      </c>
      <c r="E1082">
        <v>-17</v>
      </c>
      <c r="F1082">
        <v>10.2484161387129</v>
      </c>
    </row>
    <row r="1083" spans="1:6" x14ac:dyDescent="0.25">
      <c r="A1083" t="s">
        <v>13</v>
      </c>
      <c r="B1083">
        <v>3</v>
      </c>
      <c r="C1083">
        <v>1</v>
      </c>
      <c r="D1083">
        <v>26.65</v>
      </c>
      <c r="E1083">
        <v>-17</v>
      </c>
      <c r="F1083">
        <v>10.475825275091699</v>
      </c>
    </row>
    <row r="1084" spans="1:6" x14ac:dyDescent="0.25">
      <c r="A1084" t="s">
        <v>13</v>
      </c>
      <c r="B1084">
        <v>3</v>
      </c>
      <c r="C1084">
        <v>1</v>
      </c>
      <c r="D1084">
        <v>27</v>
      </c>
      <c r="E1084">
        <v>-17</v>
      </c>
      <c r="F1084">
        <v>10.578526175391801</v>
      </c>
    </row>
    <row r="1085" spans="1:6" x14ac:dyDescent="0.25">
      <c r="A1085" t="s">
        <v>13</v>
      </c>
      <c r="B1085">
        <v>3</v>
      </c>
      <c r="C1085">
        <v>1</v>
      </c>
      <c r="D1085">
        <v>27.35</v>
      </c>
      <c r="E1085">
        <v>-17</v>
      </c>
      <c r="F1085">
        <v>10.512504168055999</v>
      </c>
    </row>
    <row r="1086" spans="1:6" x14ac:dyDescent="0.25">
      <c r="A1086" t="s">
        <v>13</v>
      </c>
      <c r="B1086">
        <v>3</v>
      </c>
      <c r="C1086">
        <v>1</v>
      </c>
      <c r="D1086">
        <v>27.7</v>
      </c>
      <c r="E1086">
        <v>-17</v>
      </c>
      <c r="F1086">
        <v>10.380460153384499</v>
      </c>
    </row>
    <row r="1087" spans="1:6" x14ac:dyDescent="0.25">
      <c r="A1087" t="s">
        <v>13</v>
      </c>
      <c r="B1087">
        <v>3</v>
      </c>
      <c r="C1087">
        <v>1</v>
      </c>
      <c r="D1087">
        <v>28.05</v>
      </c>
      <c r="E1087">
        <v>-17</v>
      </c>
      <c r="F1087">
        <v>10.0136712237413</v>
      </c>
    </row>
    <row r="1088" spans="1:6" x14ac:dyDescent="0.25">
      <c r="A1088" t="s">
        <v>13</v>
      </c>
      <c r="B1088">
        <v>3</v>
      </c>
      <c r="C1088">
        <v>1</v>
      </c>
      <c r="D1088">
        <v>28.4</v>
      </c>
      <c r="E1088">
        <v>-17</v>
      </c>
      <c r="F1088">
        <v>8.5171723907969401</v>
      </c>
    </row>
    <row r="1089" spans="1:6" x14ac:dyDescent="0.25">
      <c r="A1089" t="s">
        <v>13</v>
      </c>
      <c r="B1089">
        <v>3</v>
      </c>
      <c r="C1089">
        <v>1</v>
      </c>
      <c r="D1089">
        <v>28.75</v>
      </c>
      <c r="E1089">
        <v>-17</v>
      </c>
      <c r="F1089">
        <v>3.1327109036345502</v>
      </c>
    </row>
    <row r="1090" spans="1:6" x14ac:dyDescent="0.25">
      <c r="A1090" t="s">
        <v>13</v>
      </c>
      <c r="B1090">
        <v>3</v>
      </c>
      <c r="C1090">
        <v>1</v>
      </c>
      <c r="D1090">
        <v>29.1</v>
      </c>
      <c r="E1090">
        <v>-17</v>
      </c>
      <c r="F1090">
        <v>3.0006668889629902</v>
      </c>
    </row>
    <row r="1091" spans="1:6" x14ac:dyDescent="0.25">
      <c r="A1091" t="s">
        <v>13</v>
      </c>
      <c r="B1091">
        <v>4</v>
      </c>
      <c r="C1091">
        <v>1</v>
      </c>
      <c r="D1091">
        <v>33.9</v>
      </c>
      <c r="E1091">
        <v>-17</v>
      </c>
      <c r="F1091">
        <v>3.1490379268157098</v>
      </c>
    </row>
    <row r="1092" spans="1:6" x14ac:dyDescent="0.25">
      <c r="A1092" t="s">
        <v>13</v>
      </c>
      <c r="B1092">
        <v>4</v>
      </c>
      <c r="C1092">
        <v>1</v>
      </c>
      <c r="D1092">
        <v>34.25</v>
      </c>
      <c r="E1092">
        <v>-17</v>
      </c>
      <c r="F1092">
        <v>3.1857412968524099</v>
      </c>
    </row>
    <row r="1093" spans="1:6" x14ac:dyDescent="0.25">
      <c r="A1093" t="s">
        <v>13</v>
      </c>
      <c r="B1093">
        <v>4</v>
      </c>
      <c r="C1093">
        <v>1</v>
      </c>
      <c r="D1093">
        <v>34.6</v>
      </c>
      <c r="E1093">
        <v>-17</v>
      </c>
      <c r="F1093">
        <v>3.3839394950506101</v>
      </c>
    </row>
    <row r="1094" spans="1:6" x14ac:dyDescent="0.25">
      <c r="A1094" t="s">
        <v>13</v>
      </c>
      <c r="B1094">
        <v>4</v>
      </c>
      <c r="C1094">
        <v>1</v>
      </c>
      <c r="D1094">
        <v>34.950000000000003</v>
      </c>
      <c r="E1094">
        <v>-17</v>
      </c>
      <c r="F1094">
        <v>9.3519074630185806</v>
      </c>
    </row>
    <row r="1095" spans="1:6" x14ac:dyDescent="0.25">
      <c r="A1095" t="s">
        <v>13</v>
      </c>
      <c r="B1095">
        <v>4</v>
      </c>
      <c r="C1095">
        <v>1</v>
      </c>
      <c r="D1095">
        <v>35.299999999999997</v>
      </c>
      <c r="E1095">
        <v>-17</v>
      </c>
      <c r="F1095">
        <v>10.3502391280169</v>
      </c>
    </row>
    <row r="1096" spans="1:6" x14ac:dyDescent="0.25">
      <c r="A1096" t="s">
        <v>13</v>
      </c>
      <c r="B1096">
        <v>4</v>
      </c>
      <c r="C1096">
        <v>1</v>
      </c>
      <c r="D1096">
        <v>35.65</v>
      </c>
      <c r="E1096">
        <v>-17</v>
      </c>
      <c r="F1096">
        <v>10.453008564119701</v>
      </c>
    </row>
    <row r="1097" spans="1:6" x14ac:dyDescent="0.25">
      <c r="A1097" t="s">
        <v>13</v>
      </c>
      <c r="B1097">
        <v>4</v>
      </c>
      <c r="C1097">
        <v>1</v>
      </c>
      <c r="D1097">
        <v>36</v>
      </c>
      <c r="E1097">
        <v>-17</v>
      </c>
      <c r="F1097">
        <v>10.6145033922812</v>
      </c>
    </row>
    <row r="1098" spans="1:6" x14ac:dyDescent="0.25">
      <c r="A1098" t="s">
        <v>13</v>
      </c>
      <c r="B1098">
        <v>4</v>
      </c>
      <c r="C1098">
        <v>1</v>
      </c>
      <c r="D1098">
        <v>36.35</v>
      </c>
      <c r="E1098">
        <v>-17</v>
      </c>
      <c r="F1098">
        <v>10.482371260149</v>
      </c>
    </row>
    <row r="1099" spans="1:6" x14ac:dyDescent="0.25">
      <c r="A1099" t="s">
        <v>13</v>
      </c>
      <c r="B1099">
        <v>4</v>
      </c>
      <c r="C1099">
        <v>1</v>
      </c>
      <c r="D1099">
        <v>36.700000000000003</v>
      </c>
      <c r="E1099">
        <v>-17</v>
      </c>
      <c r="F1099">
        <v>10.3208764319875</v>
      </c>
    </row>
    <row r="1100" spans="1:6" x14ac:dyDescent="0.25">
      <c r="A1100" t="s">
        <v>13</v>
      </c>
      <c r="B1100">
        <v>4</v>
      </c>
      <c r="C1100">
        <v>1</v>
      </c>
      <c r="D1100">
        <v>37.049999999999997</v>
      </c>
      <c r="E1100">
        <v>-17</v>
      </c>
      <c r="F1100">
        <v>9.5868090312534804</v>
      </c>
    </row>
    <row r="1101" spans="1:6" x14ac:dyDescent="0.25">
      <c r="A1101" t="s">
        <v>13</v>
      </c>
      <c r="B1101">
        <v>4</v>
      </c>
      <c r="C1101">
        <v>1</v>
      </c>
      <c r="D1101">
        <v>37.4</v>
      </c>
      <c r="E1101">
        <v>-17</v>
      </c>
      <c r="F1101">
        <v>2.58380602825047</v>
      </c>
    </row>
    <row r="1102" spans="1:6" x14ac:dyDescent="0.25">
      <c r="A1102" t="s">
        <v>13</v>
      </c>
      <c r="B1102">
        <v>4</v>
      </c>
      <c r="C1102">
        <v>1</v>
      </c>
      <c r="D1102">
        <v>37.75</v>
      </c>
      <c r="E1102">
        <v>-17</v>
      </c>
      <c r="F1102">
        <v>2.5544433322211102</v>
      </c>
    </row>
    <row r="1103" spans="1:6" x14ac:dyDescent="0.25">
      <c r="A1103" t="s">
        <v>13</v>
      </c>
      <c r="B1103">
        <v>4</v>
      </c>
      <c r="C1103">
        <v>1</v>
      </c>
      <c r="D1103">
        <v>38.1</v>
      </c>
      <c r="E1103">
        <v>-17</v>
      </c>
      <c r="F1103">
        <v>2.8554109665220802</v>
      </c>
    </row>
    <row r="1104" spans="1:6" x14ac:dyDescent="0.25">
      <c r="A1104" t="s">
        <v>13</v>
      </c>
      <c r="B1104">
        <v>5</v>
      </c>
      <c r="C1104">
        <v>1</v>
      </c>
      <c r="D1104">
        <v>42.9</v>
      </c>
      <c r="E1104">
        <v>-17</v>
      </c>
      <c r="F1104">
        <v>3.1580573951434898</v>
      </c>
    </row>
    <row r="1105" spans="1:6" x14ac:dyDescent="0.25">
      <c r="A1105" t="s">
        <v>13</v>
      </c>
      <c r="B1105">
        <v>5</v>
      </c>
      <c r="C1105">
        <v>1</v>
      </c>
      <c r="D1105">
        <v>43.25</v>
      </c>
      <c r="E1105">
        <v>-17</v>
      </c>
      <c r="F1105">
        <v>3.1580573951434898</v>
      </c>
    </row>
    <row r="1106" spans="1:6" x14ac:dyDescent="0.25">
      <c r="A1106" t="s">
        <v>13</v>
      </c>
      <c r="B1106">
        <v>5</v>
      </c>
      <c r="C1106">
        <v>1</v>
      </c>
      <c r="D1106">
        <v>43.6</v>
      </c>
      <c r="E1106">
        <v>-17</v>
      </c>
      <c r="F1106">
        <v>3.18719646799117</v>
      </c>
    </row>
    <row r="1107" spans="1:6" x14ac:dyDescent="0.25">
      <c r="A1107" t="s">
        <v>13</v>
      </c>
      <c r="B1107">
        <v>5</v>
      </c>
      <c r="C1107">
        <v>1</v>
      </c>
      <c r="D1107">
        <v>43.95</v>
      </c>
      <c r="E1107">
        <v>-17</v>
      </c>
      <c r="F1107">
        <v>9.5759381898454699</v>
      </c>
    </row>
    <row r="1108" spans="1:6" x14ac:dyDescent="0.25">
      <c r="A1108" t="s">
        <v>13</v>
      </c>
      <c r="B1108">
        <v>5</v>
      </c>
      <c r="C1108">
        <v>1</v>
      </c>
      <c r="D1108">
        <v>44.3</v>
      </c>
      <c r="E1108">
        <v>-17</v>
      </c>
      <c r="F1108">
        <v>10.2388520971302</v>
      </c>
    </row>
    <row r="1109" spans="1:6" x14ac:dyDescent="0.25">
      <c r="A1109" t="s">
        <v>13</v>
      </c>
      <c r="B1109">
        <v>5</v>
      </c>
      <c r="C1109">
        <v>1</v>
      </c>
      <c r="D1109">
        <v>44.65</v>
      </c>
      <c r="E1109">
        <v>-17</v>
      </c>
      <c r="F1109">
        <v>10.4646799116998</v>
      </c>
    </row>
    <row r="1110" spans="1:6" x14ac:dyDescent="0.25">
      <c r="A1110" t="s">
        <v>13</v>
      </c>
      <c r="B1110">
        <v>5</v>
      </c>
      <c r="C1110">
        <v>1</v>
      </c>
      <c r="D1110">
        <v>45</v>
      </c>
      <c r="E1110">
        <v>-17</v>
      </c>
      <c r="F1110">
        <v>10.4646799116998</v>
      </c>
    </row>
    <row r="1111" spans="1:6" x14ac:dyDescent="0.25">
      <c r="A1111" t="s">
        <v>13</v>
      </c>
      <c r="B1111">
        <v>5</v>
      </c>
      <c r="C1111">
        <v>1</v>
      </c>
      <c r="D1111">
        <v>45.35</v>
      </c>
      <c r="E1111">
        <v>-17</v>
      </c>
      <c r="F1111">
        <v>10.3699779249448</v>
      </c>
    </row>
    <row r="1112" spans="1:6" x14ac:dyDescent="0.25">
      <c r="A1112" t="s">
        <v>13</v>
      </c>
      <c r="B1112">
        <v>5</v>
      </c>
      <c r="C1112">
        <v>1</v>
      </c>
      <c r="D1112">
        <v>45.7</v>
      </c>
      <c r="E1112">
        <v>-17</v>
      </c>
      <c r="F1112">
        <v>9.9401766004415002</v>
      </c>
    </row>
    <row r="1113" spans="1:6" x14ac:dyDescent="0.25">
      <c r="A1113" t="s">
        <v>13</v>
      </c>
      <c r="B1113">
        <v>5</v>
      </c>
      <c r="C1113">
        <v>1</v>
      </c>
      <c r="D1113">
        <v>46.05</v>
      </c>
      <c r="E1113">
        <v>-17</v>
      </c>
      <c r="F1113">
        <v>8.5560706401765998</v>
      </c>
    </row>
    <row r="1114" spans="1:6" x14ac:dyDescent="0.25">
      <c r="A1114" t="s">
        <v>13</v>
      </c>
      <c r="B1114">
        <v>5</v>
      </c>
      <c r="C1114">
        <v>1</v>
      </c>
      <c r="D1114">
        <v>46.4</v>
      </c>
      <c r="E1114">
        <v>-17</v>
      </c>
      <c r="F1114">
        <v>2.8958057395143499</v>
      </c>
    </row>
    <row r="1115" spans="1:6" x14ac:dyDescent="0.25">
      <c r="A1115" t="s">
        <v>13</v>
      </c>
      <c r="B1115">
        <v>5</v>
      </c>
      <c r="C1115">
        <v>1</v>
      </c>
      <c r="D1115">
        <v>46.75</v>
      </c>
      <c r="E1115">
        <v>-17</v>
      </c>
      <c r="F1115">
        <v>2.8302428256070602</v>
      </c>
    </row>
    <row r="1116" spans="1:6" x14ac:dyDescent="0.25">
      <c r="A1116" t="s">
        <v>13</v>
      </c>
      <c r="B1116">
        <v>5</v>
      </c>
      <c r="C1116">
        <v>1</v>
      </c>
      <c r="D1116">
        <v>47.1</v>
      </c>
      <c r="E1116">
        <v>-17</v>
      </c>
      <c r="F1116">
        <v>2.9613686534216299</v>
      </c>
    </row>
    <row r="1117" spans="1:6" x14ac:dyDescent="0.25">
      <c r="A1117" t="s">
        <v>13</v>
      </c>
      <c r="B1117">
        <v>6</v>
      </c>
      <c r="C1117">
        <v>1</v>
      </c>
      <c r="D1117">
        <v>51.9</v>
      </c>
      <c r="E1117">
        <v>-17</v>
      </c>
      <c r="F1117">
        <v>3.3904063957361799</v>
      </c>
    </row>
    <row r="1118" spans="1:6" x14ac:dyDescent="0.25">
      <c r="A1118" t="s">
        <v>13</v>
      </c>
      <c r="B1118">
        <v>6</v>
      </c>
      <c r="C1118">
        <v>1</v>
      </c>
      <c r="D1118">
        <v>52.25</v>
      </c>
      <c r="E1118">
        <v>-17</v>
      </c>
      <c r="F1118">
        <v>8.2418387741505708</v>
      </c>
    </row>
    <row r="1119" spans="1:6" x14ac:dyDescent="0.25">
      <c r="A1119" t="s">
        <v>13</v>
      </c>
      <c r="B1119">
        <v>6</v>
      </c>
      <c r="C1119">
        <v>1</v>
      </c>
      <c r="D1119">
        <v>52.6</v>
      </c>
      <c r="E1119">
        <v>-17</v>
      </c>
      <c r="F1119">
        <v>9.8687541638907401</v>
      </c>
    </row>
    <row r="1120" spans="1:6" x14ac:dyDescent="0.25">
      <c r="A1120" t="s">
        <v>13</v>
      </c>
      <c r="B1120">
        <v>6</v>
      </c>
      <c r="C1120">
        <v>1</v>
      </c>
      <c r="D1120">
        <v>52.95</v>
      </c>
      <c r="E1120">
        <v>-17</v>
      </c>
      <c r="F1120">
        <v>10.4696868754164</v>
      </c>
    </row>
    <row r="1121" spans="1:6" x14ac:dyDescent="0.25">
      <c r="A1121" t="s">
        <v>13</v>
      </c>
      <c r="B1121">
        <v>6</v>
      </c>
      <c r="C1121">
        <v>1</v>
      </c>
      <c r="D1121">
        <v>53.3</v>
      </c>
      <c r="E1121">
        <v>-17</v>
      </c>
      <c r="F1121">
        <v>10.7041972018654</v>
      </c>
    </row>
    <row r="1122" spans="1:6" x14ac:dyDescent="0.25">
      <c r="A1122" t="s">
        <v>13</v>
      </c>
      <c r="B1122">
        <v>6</v>
      </c>
      <c r="C1122">
        <v>1</v>
      </c>
      <c r="D1122">
        <v>53.65</v>
      </c>
      <c r="E1122">
        <v>-17</v>
      </c>
      <c r="F1122">
        <v>10.770153231179201</v>
      </c>
    </row>
    <row r="1123" spans="1:6" x14ac:dyDescent="0.25">
      <c r="A1123" t="s">
        <v>13</v>
      </c>
      <c r="B1123">
        <v>6</v>
      </c>
      <c r="C1123">
        <v>1</v>
      </c>
      <c r="D1123">
        <v>54</v>
      </c>
      <c r="E1123">
        <v>-17</v>
      </c>
      <c r="F1123">
        <v>10.7041972018654</v>
      </c>
    </row>
    <row r="1124" spans="1:6" x14ac:dyDescent="0.25">
      <c r="A1124" t="s">
        <v>13</v>
      </c>
      <c r="B1124">
        <v>6</v>
      </c>
      <c r="C1124">
        <v>1</v>
      </c>
      <c r="D1124">
        <v>54.35</v>
      </c>
      <c r="E1124">
        <v>-17</v>
      </c>
      <c r="F1124">
        <v>10.535642904730199</v>
      </c>
    </row>
    <row r="1125" spans="1:6" x14ac:dyDescent="0.25">
      <c r="A1125" t="s">
        <v>13</v>
      </c>
      <c r="B1125">
        <v>6</v>
      </c>
      <c r="C1125">
        <v>1</v>
      </c>
      <c r="D1125">
        <v>54.7</v>
      </c>
      <c r="E1125">
        <v>-17</v>
      </c>
      <c r="F1125">
        <v>10.037308461026001</v>
      </c>
    </row>
    <row r="1126" spans="1:6" x14ac:dyDescent="0.25">
      <c r="A1126" t="s">
        <v>13</v>
      </c>
      <c r="B1126">
        <v>6</v>
      </c>
      <c r="C1126">
        <v>1</v>
      </c>
      <c r="D1126">
        <v>55.05</v>
      </c>
      <c r="E1126">
        <v>-17</v>
      </c>
      <c r="F1126">
        <v>8.0146568954030695</v>
      </c>
    </row>
    <row r="1127" spans="1:6" x14ac:dyDescent="0.25">
      <c r="A1127" t="s">
        <v>13</v>
      </c>
      <c r="B1127">
        <v>6</v>
      </c>
      <c r="C1127">
        <v>1</v>
      </c>
      <c r="D1127">
        <v>55.4</v>
      </c>
      <c r="E1127">
        <v>-17</v>
      </c>
      <c r="F1127">
        <v>6.6149233844103899</v>
      </c>
    </row>
    <row r="1128" spans="1:6" x14ac:dyDescent="0.25">
      <c r="A1128" t="s">
        <v>13</v>
      </c>
      <c r="B1128">
        <v>6</v>
      </c>
      <c r="C1128">
        <v>1</v>
      </c>
      <c r="D1128">
        <v>55.75</v>
      </c>
      <c r="E1128">
        <v>-17</v>
      </c>
      <c r="F1128">
        <v>3.0899400399733499</v>
      </c>
    </row>
    <row r="1129" spans="1:6" x14ac:dyDescent="0.25">
      <c r="A1129" t="s">
        <v>13</v>
      </c>
      <c r="B1129">
        <v>6</v>
      </c>
      <c r="C1129">
        <v>1</v>
      </c>
      <c r="D1129">
        <v>56.1</v>
      </c>
      <c r="E1129">
        <v>-17</v>
      </c>
      <c r="F1129">
        <v>3.12658227848102</v>
      </c>
    </row>
    <row r="1130" spans="1:6" x14ac:dyDescent="0.25">
      <c r="A1130" t="s">
        <v>13</v>
      </c>
      <c r="B1130">
        <v>7</v>
      </c>
      <c r="C1130">
        <v>1</v>
      </c>
      <c r="D1130">
        <v>60.9</v>
      </c>
      <c r="E1130">
        <v>-17</v>
      </c>
      <c r="F1130">
        <v>-1.369826435247</v>
      </c>
    </row>
    <row r="1131" spans="1:6" x14ac:dyDescent="0.25">
      <c r="A1131" t="s">
        <v>13</v>
      </c>
      <c r="B1131">
        <v>7</v>
      </c>
      <c r="C1131">
        <v>1</v>
      </c>
      <c r="D1131">
        <v>61.25</v>
      </c>
      <c r="E1131">
        <v>-17</v>
      </c>
      <c r="F1131">
        <v>9.7036048064085403</v>
      </c>
    </row>
    <row r="1132" spans="1:6" x14ac:dyDescent="0.25">
      <c r="A1132" t="s">
        <v>13</v>
      </c>
      <c r="B1132">
        <v>7</v>
      </c>
      <c r="C1132">
        <v>1</v>
      </c>
      <c r="D1132">
        <v>61.6</v>
      </c>
      <c r="E1132">
        <v>-17</v>
      </c>
      <c r="F1132">
        <v>10.2102803738318</v>
      </c>
    </row>
    <row r="1133" spans="1:6" x14ac:dyDescent="0.25">
      <c r="A1133" t="s">
        <v>13</v>
      </c>
      <c r="B1133">
        <v>7</v>
      </c>
      <c r="C1133">
        <v>1</v>
      </c>
      <c r="D1133">
        <v>61.95</v>
      </c>
      <c r="E1133">
        <v>-17</v>
      </c>
      <c r="F1133">
        <v>10.5407209612817</v>
      </c>
    </row>
    <row r="1134" spans="1:6" x14ac:dyDescent="0.25">
      <c r="A1134" t="s">
        <v>13</v>
      </c>
      <c r="B1134">
        <v>7</v>
      </c>
      <c r="C1134">
        <v>1</v>
      </c>
      <c r="D1134">
        <v>62.3</v>
      </c>
      <c r="E1134">
        <v>-17</v>
      </c>
      <c r="F1134">
        <v>10.7096128170894</v>
      </c>
    </row>
    <row r="1135" spans="1:6" x14ac:dyDescent="0.25">
      <c r="A1135" t="s">
        <v>13</v>
      </c>
      <c r="B1135">
        <v>7</v>
      </c>
      <c r="C1135">
        <v>1</v>
      </c>
      <c r="D1135">
        <v>62.65</v>
      </c>
      <c r="E1135">
        <v>-17</v>
      </c>
      <c r="F1135">
        <v>10.746328437917199</v>
      </c>
    </row>
    <row r="1136" spans="1:6" x14ac:dyDescent="0.25">
      <c r="A1136" t="s">
        <v>13</v>
      </c>
      <c r="B1136">
        <v>7</v>
      </c>
      <c r="C1136">
        <v>1</v>
      </c>
      <c r="D1136">
        <v>63</v>
      </c>
      <c r="E1136">
        <v>-17</v>
      </c>
      <c r="F1136">
        <v>10.643524699599499</v>
      </c>
    </row>
    <row r="1137" spans="1:6" x14ac:dyDescent="0.25">
      <c r="A1137" t="s">
        <v>13</v>
      </c>
      <c r="B1137">
        <v>7</v>
      </c>
      <c r="C1137">
        <v>1</v>
      </c>
      <c r="D1137">
        <v>63.35</v>
      </c>
      <c r="E1137">
        <v>-17</v>
      </c>
      <c r="F1137">
        <v>10.371829105473999</v>
      </c>
    </row>
    <row r="1138" spans="1:6" x14ac:dyDescent="0.25">
      <c r="A1138" t="s">
        <v>13</v>
      </c>
      <c r="B1138">
        <v>7</v>
      </c>
      <c r="C1138">
        <v>1</v>
      </c>
      <c r="D1138">
        <v>63.7</v>
      </c>
      <c r="E1138">
        <v>-17</v>
      </c>
      <c r="F1138">
        <v>9.6301735647529991</v>
      </c>
    </row>
    <row r="1139" spans="1:6" x14ac:dyDescent="0.25">
      <c r="A1139" t="s">
        <v>13</v>
      </c>
      <c r="B1139">
        <v>7</v>
      </c>
      <c r="C1139">
        <v>1</v>
      </c>
      <c r="D1139">
        <v>64.05</v>
      </c>
      <c r="E1139">
        <v>-17</v>
      </c>
      <c r="F1139">
        <v>8.8591455273698205</v>
      </c>
    </row>
    <row r="1140" spans="1:6" x14ac:dyDescent="0.25">
      <c r="A1140" t="s">
        <v>13</v>
      </c>
      <c r="B1140">
        <v>7</v>
      </c>
      <c r="C1140">
        <v>1</v>
      </c>
      <c r="D1140">
        <v>64.400000000000006</v>
      </c>
      <c r="E1140">
        <v>-17</v>
      </c>
      <c r="F1140">
        <v>5.58411214953271</v>
      </c>
    </row>
    <row r="1141" spans="1:6" x14ac:dyDescent="0.25">
      <c r="A1141" t="s">
        <v>13</v>
      </c>
      <c r="B1141">
        <v>7</v>
      </c>
      <c r="C1141">
        <v>1</v>
      </c>
      <c r="D1141">
        <v>64.75</v>
      </c>
      <c r="E1141">
        <v>-17</v>
      </c>
      <c r="F1141">
        <v>4.3357810413885103</v>
      </c>
    </row>
    <row r="1142" spans="1:6" x14ac:dyDescent="0.25">
      <c r="A1142" t="s">
        <v>13</v>
      </c>
      <c r="B1142">
        <v>7</v>
      </c>
      <c r="C1142">
        <v>1</v>
      </c>
      <c r="D1142">
        <v>65.099999999999994</v>
      </c>
      <c r="E1142">
        <v>-17</v>
      </c>
      <c r="F1142">
        <v>3.2563417890520698</v>
      </c>
    </row>
    <row r="1143" spans="1:6" x14ac:dyDescent="0.25">
      <c r="A1143" t="s">
        <v>13</v>
      </c>
      <c r="B1143">
        <v>0</v>
      </c>
      <c r="C1143">
        <v>0</v>
      </c>
      <c r="D1143">
        <v>-2.1</v>
      </c>
      <c r="E1143">
        <v>-8</v>
      </c>
      <c r="F1143">
        <v>3.06508941463956</v>
      </c>
    </row>
    <row r="1144" spans="1:6" x14ac:dyDescent="0.25">
      <c r="A1144" t="s">
        <v>13</v>
      </c>
      <c r="B1144">
        <v>0</v>
      </c>
      <c r="C1144">
        <v>0</v>
      </c>
      <c r="D1144">
        <v>-1.75</v>
      </c>
      <c r="E1144">
        <v>-8</v>
      </c>
      <c r="F1144">
        <v>7.6102410307675203</v>
      </c>
    </row>
    <row r="1145" spans="1:6" x14ac:dyDescent="0.25">
      <c r="A1145" t="s">
        <v>13</v>
      </c>
      <c r="B1145">
        <v>0</v>
      </c>
      <c r="C1145">
        <v>0</v>
      </c>
      <c r="D1145">
        <v>-1.4</v>
      </c>
      <c r="E1145">
        <v>-8</v>
      </c>
      <c r="F1145">
        <v>8.9957791847162092</v>
      </c>
    </row>
    <row r="1146" spans="1:6" x14ac:dyDescent="0.25">
      <c r="A1146" t="s">
        <v>13</v>
      </c>
      <c r="B1146">
        <v>0</v>
      </c>
      <c r="C1146">
        <v>0</v>
      </c>
      <c r="D1146">
        <v>-1.05</v>
      </c>
      <c r="E1146">
        <v>-8</v>
      </c>
      <c r="F1146">
        <v>9.6702210374319701</v>
      </c>
    </row>
    <row r="1147" spans="1:6" x14ac:dyDescent="0.25">
      <c r="A1147" t="s">
        <v>13</v>
      </c>
      <c r="B1147">
        <v>0</v>
      </c>
      <c r="C1147">
        <v>0</v>
      </c>
      <c r="D1147">
        <v>-0.7</v>
      </c>
      <c r="E1147">
        <v>-8</v>
      </c>
      <c r="F1147">
        <v>10.205375985782499</v>
      </c>
    </row>
    <row r="1148" spans="1:6" x14ac:dyDescent="0.25">
      <c r="A1148" t="s">
        <v>13</v>
      </c>
      <c r="B1148">
        <v>0</v>
      </c>
      <c r="C1148">
        <v>0</v>
      </c>
      <c r="D1148">
        <v>-0.35</v>
      </c>
      <c r="E1148">
        <v>-8</v>
      </c>
      <c r="F1148">
        <v>10.410640897478601</v>
      </c>
    </row>
    <row r="1149" spans="1:6" x14ac:dyDescent="0.25">
      <c r="A1149" t="s">
        <v>13</v>
      </c>
      <c r="B1149">
        <v>0</v>
      </c>
      <c r="C1149">
        <v>0</v>
      </c>
      <c r="D1149" s="1">
        <v>-4.4408920985006301E-16</v>
      </c>
      <c r="E1149">
        <v>-8</v>
      </c>
      <c r="F1149">
        <v>10.6085749194713</v>
      </c>
    </row>
    <row r="1150" spans="1:6" x14ac:dyDescent="0.25">
      <c r="A1150" t="s">
        <v>13</v>
      </c>
      <c r="B1150">
        <v>0</v>
      </c>
      <c r="C1150">
        <v>0</v>
      </c>
      <c r="D1150">
        <v>0.35</v>
      </c>
      <c r="E1150">
        <v>-8</v>
      </c>
      <c r="F1150">
        <v>10.6085749194713</v>
      </c>
    </row>
    <row r="1151" spans="1:6" x14ac:dyDescent="0.25">
      <c r="A1151" t="s">
        <v>13</v>
      </c>
      <c r="B1151">
        <v>0</v>
      </c>
      <c r="C1151">
        <v>0</v>
      </c>
      <c r="D1151">
        <v>0.7</v>
      </c>
      <c r="E1151">
        <v>-8</v>
      </c>
      <c r="F1151">
        <v>10.579251360657601</v>
      </c>
    </row>
    <row r="1152" spans="1:6" x14ac:dyDescent="0.25">
      <c r="A1152" t="s">
        <v>13</v>
      </c>
      <c r="B1152">
        <v>0</v>
      </c>
      <c r="C1152">
        <v>0</v>
      </c>
      <c r="D1152">
        <v>1.05</v>
      </c>
      <c r="E1152">
        <v>-8</v>
      </c>
      <c r="F1152">
        <v>10.4399644562923</v>
      </c>
    </row>
    <row r="1153" spans="1:6" x14ac:dyDescent="0.25">
      <c r="A1153" t="s">
        <v>13</v>
      </c>
      <c r="B1153">
        <v>0</v>
      </c>
      <c r="C1153">
        <v>0</v>
      </c>
      <c r="D1153">
        <v>1.4</v>
      </c>
      <c r="E1153">
        <v>-8</v>
      </c>
      <c r="F1153">
        <v>10.205375985782499</v>
      </c>
    </row>
    <row r="1154" spans="1:6" x14ac:dyDescent="0.25">
      <c r="A1154" t="s">
        <v>13</v>
      </c>
      <c r="B1154">
        <v>0</v>
      </c>
      <c r="C1154">
        <v>0</v>
      </c>
      <c r="D1154">
        <v>1.75</v>
      </c>
      <c r="E1154">
        <v>-8</v>
      </c>
      <c r="F1154">
        <v>8.8564922803510004</v>
      </c>
    </row>
    <row r="1155" spans="1:6" x14ac:dyDescent="0.25">
      <c r="A1155" t="s">
        <v>13</v>
      </c>
      <c r="B1155">
        <v>0</v>
      </c>
      <c r="C1155">
        <v>0</v>
      </c>
      <c r="D1155">
        <v>2.1</v>
      </c>
      <c r="E1155">
        <v>-8</v>
      </c>
      <c r="F1155">
        <v>7.1410640897478599</v>
      </c>
    </row>
    <row r="1156" spans="1:6" x14ac:dyDescent="0.25">
      <c r="A1156" t="s">
        <v>13</v>
      </c>
      <c r="B1156">
        <v>1</v>
      </c>
      <c r="C1156">
        <v>0</v>
      </c>
      <c r="D1156">
        <v>6.9</v>
      </c>
      <c r="E1156">
        <v>-8</v>
      </c>
      <c r="F1156">
        <v>3.0384957721406298</v>
      </c>
    </row>
    <row r="1157" spans="1:6" x14ac:dyDescent="0.25">
      <c r="A1157" t="s">
        <v>13</v>
      </c>
      <c r="B1157">
        <v>1</v>
      </c>
      <c r="C1157">
        <v>0</v>
      </c>
      <c r="D1157">
        <v>7.25</v>
      </c>
      <c r="E1157">
        <v>-8</v>
      </c>
      <c r="F1157">
        <v>2.96506453048509</v>
      </c>
    </row>
    <row r="1158" spans="1:6" x14ac:dyDescent="0.25">
      <c r="A1158" t="s">
        <v>13</v>
      </c>
      <c r="B1158">
        <v>1</v>
      </c>
      <c r="C1158">
        <v>0</v>
      </c>
      <c r="D1158">
        <v>7.6</v>
      </c>
      <c r="E1158">
        <v>-8</v>
      </c>
      <c r="F1158">
        <v>3.20004450378282</v>
      </c>
    </row>
    <row r="1159" spans="1:6" x14ac:dyDescent="0.25">
      <c r="A1159" t="s">
        <v>13</v>
      </c>
      <c r="B1159">
        <v>1</v>
      </c>
      <c r="C1159">
        <v>0</v>
      </c>
      <c r="D1159">
        <v>7.95</v>
      </c>
      <c r="E1159">
        <v>-8</v>
      </c>
      <c r="F1159">
        <v>9.0011125945705395</v>
      </c>
    </row>
    <row r="1160" spans="1:6" x14ac:dyDescent="0.25">
      <c r="A1160" t="s">
        <v>13</v>
      </c>
      <c r="B1160">
        <v>1</v>
      </c>
      <c r="C1160">
        <v>0</v>
      </c>
      <c r="D1160">
        <v>8.3000000000000007</v>
      </c>
      <c r="E1160">
        <v>-8</v>
      </c>
      <c r="F1160">
        <v>9.7354250111259493</v>
      </c>
    </row>
    <row r="1161" spans="1:6" x14ac:dyDescent="0.25">
      <c r="A1161" t="s">
        <v>13</v>
      </c>
      <c r="B1161">
        <v>1</v>
      </c>
      <c r="C1161">
        <v>0</v>
      </c>
      <c r="D1161">
        <v>8.65</v>
      </c>
      <c r="E1161">
        <v>-8</v>
      </c>
      <c r="F1161">
        <v>10.1025812194036</v>
      </c>
    </row>
    <row r="1162" spans="1:6" x14ac:dyDescent="0.25">
      <c r="A1162" t="s">
        <v>13</v>
      </c>
      <c r="B1162">
        <v>1</v>
      </c>
      <c r="C1162">
        <v>0</v>
      </c>
      <c r="D1162">
        <v>9</v>
      </c>
      <c r="E1162">
        <v>-8</v>
      </c>
      <c r="F1162">
        <v>10.2714730752114</v>
      </c>
    </row>
    <row r="1163" spans="1:6" x14ac:dyDescent="0.25">
      <c r="A1163" t="s">
        <v>13</v>
      </c>
      <c r="B1163">
        <v>1</v>
      </c>
      <c r="C1163">
        <v>0</v>
      </c>
      <c r="D1163">
        <v>9.35</v>
      </c>
      <c r="E1163">
        <v>-8</v>
      </c>
      <c r="F1163">
        <v>10.2053849577214</v>
      </c>
    </row>
    <row r="1164" spans="1:6" x14ac:dyDescent="0.25">
      <c r="A1164" t="s">
        <v>13</v>
      </c>
      <c r="B1164">
        <v>1</v>
      </c>
      <c r="C1164">
        <v>0</v>
      </c>
      <c r="D1164">
        <v>9.6999999999999993</v>
      </c>
      <c r="E1164">
        <v>-8</v>
      </c>
      <c r="F1164">
        <v>9.9704049844236806</v>
      </c>
    </row>
    <row r="1165" spans="1:6" x14ac:dyDescent="0.25">
      <c r="A1165" t="s">
        <v>13</v>
      </c>
      <c r="B1165">
        <v>1</v>
      </c>
      <c r="C1165">
        <v>0</v>
      </c>
      <c r="D1165">
        <v>10.050000000000001</v>
      </c>
      <c r="E1165">
        <v>-8</v>
      </c>
      <c r="F1165">
        <v>9.7721406319537198</v>
      </c>
    </row>
    <row r="1166" spans="1:6" x14ac:dyDescent="0.25">
      <c r="A1166" t="s">
        <v>13</v>
      </c>
      <c r="B1166">
        <v>1</v>
      </c>
      <c r="C1166">
        <v>0</v>
      </c>
      <c r="D1166">
        <v>10.4</v>
      </c>
      <c r="E1166">
        <v>-8</v>
      </c>
      <c r="F1166">
        <v>8.7661326212728099</v>
      </c>
    </row>
    <row r="1167" spans="1:6" x14ac:dyDescent="0.25">
      <c r="A1167" t="s">
        <v>13</v>
      </c>
      <c r="B1167">
        <v>1</v>
      </c>
      <c r="C1167">
        <v>0</v>
      </c>
      <c r="D1167">
        <v>10.75</v>
      </c>
      <c r="E1167">
        <v>-8</v>
      </c>
      <c r="F1167">
        <v>5.7701379617267499</v>
      </c>
    </row>
    <row r="1168" spans="1:6" x14ac:dyDescent="0.25">
      <c r="A1168" t="s">
        <v>13</v>
      </c>
      <c r="B1168">
        <v>1</v>
      </c>
      <c r="C1168">
        <v>0</v>
      </c>
      <c r="D1168">
        <v>11.1</v>
      </c>
      <c r="E1168">
        <v>-8</v>
      </c>
      <c r="F1168">
        <v>3.1045838896306202</v>
      </c>
    </row>
    <row r="1169" spans="1:6" x14ac:dyDescent="0.25">
      <c r="A1169" t="s">
        <v>13</v>
      </c>
      <c r="B1169">
        <v>2</v>
      </c>
      <c r="C1169">
        <v>0</v>
      </c>
      <c r="D1169">
        <v>15.9</v>
      </c>
      <c r="E1169">
        <v>-8</v>
      </c>
      <c r="F1169">
        <v>3.0524444444444399</v>
      </c>
    </row>
    <row r="1170" spans="1:6" x14ac:dyDescent="0.25">
      <c r="A1170" t="s">
        <v>13</v>
      </c>
      <c r="B1170">
        <v>2</v>
      </c>
      <c r="C1170">
        <v>0</v>
      </c>
      <c r="D1170">
        <v>16.25</v>
      </c>
      <c r="E1170">
        <v>-8</v>
      </c>
      <c r="F1170">
        <v>2.98644444444444</v>
      </c>
    </row>
    <row r="1171" spans="1:6" x14ac:dyDescent="0.25">
      <c r="A1171" t="s">
        <v>13</v>
      </c>
      <c r="B1171">
        <v>2</v>
      </c>
      <c r="C1171">
        <v>0</v>
      </c>
      <c r="D1171">
        <v>16.600000000000001</v>
      </c>
      <c r="E1171">
        <v>-8</v>
      </c>
      <c r="F1171">
        <v>2.98644444444444</v>
      </c>
    </row>
    <row r="1172" spans="1:6" x14ac:dyDescent="0.25">
      <c r="A1172" t="s">
        <v>13</v>
      </c>
      <c r="B1172">
        <v>2</v>
      </c>
      <c r="C1172">
        <v>0</v>
      </c>
      <c r="D1172">
        <v>16.95</v>
      </c>
      <c r="E1172">
        <v>-8</v>
      </c>
      <c r="F1172">
        <v>2.98644444444444</v>
      </c>
    </row>
    <row r="1173" spans="1:6" x14ac:dyDescent="0.25">
      <c r="A1173" t="s">
        <v>13</v>
      </c>
      <c r="B1173">
        <v>2</v>
      </c>
      <c r="C1173">
        <v>0</v>
      </c>
      <c r="D1173">
        <v>17.3</v>
      </c>
      <c r="E1173">
        <v>-8</v>
      </c>
      <c r="F1173">
        <v>9.4911111111111097</v>
      </c>
    </row>
    <row r="1174" spans="1:6" x14ac:dyDescent="0.25">
      <c r="A1174" t="s">
        <v>13</v>
      </c>
      <c r="B1174">
        <v>2</v>
      </c>
      <c r="C1174">
        <v>0</v>
      </c>
      <c r="D1174">
        <v>17.649999999999999</v>
      </c>
      <c r="E1174">
        <v>-8</v>
      </c>
      <c r="F1174">
        <v>10.1877777777778</v>
      </c>
    </row>
    <row r="1175" spans="1:6" x14ac:dyDescent="0.25">
      <c r="A1175" t="s">
        <v>13</v>
      </c>
      <c r="B1175">
        <v>2</v>
      </c>
      <c r="C1175">
        <v>0</v>
      </c>
      <c r="D1175">
        <v>18</v>
      </c>
      <c r="E1175">
        <v>-8</v>
      </c>
      <c r="F1175">
        <v>10.3491111111111</v>
      </c>
    </row>
    <row r="1176" spans="1:6" x14ac:dyDescent="0.25">
      <c r="A1176" t="s">
        <v>13</v>
      </c>
      <c r="B1176">
        <v>2</v>
      </c>
      <c r="C1176">
        <v>0</v>
      </c>
      <c r="D1176">
        <v>18.350000000000001</v>
      </c>
      <c r="E1176">
        <v>-8</v>
      </c>
      <c r="F1176">
        <v>10.283111111111101</v>
      </c>
    </row>
    <row r="1177" spans="1:6" x14ac:dyDescent="0.25">
      <c r="A1177" t="s">
        <v>13</v>
      </c>
      <c r="B1177">
        <v>2</v>
      </c>
      <c r="C1177">
        <v>0</v>
      </c>
      <c r="D1177">
        <v>18.7</v>
      </c>
      <c r="E1177">
        <v>-8</v>
      </c>
      <c r="F1177">
        <v>10.2171111111111</v>
      </c>
    </row>
    <row r="1178" spans="1:6" x14ac:dyDescent="0.25">
      <c r="A1178" t="s">
        <v>13</v>
      </c>
      <c r="B1178">
        <v>2</v>
      </c>
      <c r="C1178">
        <v>0</v>
      </c>
      <c r="D1178">
        <v>19.05</v>
      </c>
      <c r="E1178">
        <v>-8</v>
      </c>
      <c r="F1178">
        <v>9.8211111111111098</v>
      </c>
    </row>
    <row r="1179" spans="1:6" x14ac:dyDescent="0.25">
      <c r="A1179" t="s">
        <v>13</v>
      </c>
      <c r="B1179">
        <v>2</v>
      </c>
      <c r="C1179">
        <v>0</v>
      </c>
      <c r="D1179">
        <v>19.399999999999999</v>
      </c>
      <c r="E1179">
        <v>-8</v>
      </c>
      <c r="F1179">
        <v>6.5724444444444403</v>
      </c>
    </row>
    <row r="1180" spans="1:6" x14ac:dyDescent="0.25">
      <c r="A1180" t="s">
        <v>13</v>
      </c>
      <c r="B1180">
        <v>2</v>
      </c>
      <c r="C1180">
        <v>0</v>
      </c>
      <c r="D1180">
        <v>19.75</v>
      </c>
      <c r="E1180">
        <v>-8</v>
      </c>
      <c r="F1180">
        <v>2.7224444444444398</v>
      </c>
    </row>
    <row r="1181" spans="1:6" x14ac:dyDescent="0.25">
      <c r="A1181" t="s">
        <v>13</v>
      </c>
      <c r="B1181">
        <v>2</v>
      </c>
      <c r="C1181">
        <v>0</v>
      </c>
      <c r="D1181">
        <v>20.100000000000001</v>
      </c>
      <c r="E1181">
        <v>-8</v>
      </c>
      <c r="F1181">
        <v>2.7224444444444398</v>
      </c>
    </row>
    <row r="1182" spans="1:6" x14ac:dyDescent="0.25">
      <c r="A1182" t="s">
        <v>13</v>
      </c>
      <c r="B1182">
        <v>3</v>
      </c>
      <c r="C1182">
        <v>0</v>
      </c>
      <c r="D1182">
        <v>24.9</v>
      </c>
      <c r="E1182">
        <v>-8</v>
      </c>
      <c r="F1182">
        <v>2.9639879959986701</v>
      </c>
    </row>
    <row r="1183" spans="1:6" x14ac:dyDescent="0.25">
      <c r="A1183" t="s">
        <v>13</v>
      </c>
      <c r="B1183">
        <v>3</v>
      </c>
      <c r="C1183">
        <v>0</v>
      </c>
      <c r="D1183">
        <v>25.25</v>
      </c>
      <c r="E1183">
        <v>-8</v>
      </c>
      <c r="F1183">
        <v>2.9639879959986701</v>
      </c>
    </row>
    <row r="1184" spans="1:6" x14ac:dyDescent="0.25">
      <c r="A1184" t="s">
        <v>13</v>
      </c>
      <c r="B1184">
        <v>3</v>
      </c>
      <c r="C1184">
        <v>0</v>
      </c>
      <c r="D1184">
        <v>25.6</v>
      </c>
      <c r="E1184">
        <v>-8</v>
      </c>
      <c r="F1184">
        <v>3.1327109036345502</v>
      </c>
    </row>
    <row r="1185" spans="1:6" x14ac:dyDescent="0.25">
      <c r="A1185" t="s">
        <v>13</v>
      </c>
      <c r="B1185">
        <v>3</v>
      </c>
      <c r="C1185">
        <v>0</v>
      </c>
      <c r="D1185">
        <v>25.95</v>
      </c>
      <c r="E1185">
        <v>-8</v>
      </c>
      <c r="F1185">
        <v>8.5831943981327203</v>
      </c>
    </row>
    <row r="1186" spans="1:6" x14ac:dyDescent="0.25">
      <c r="A1186" t="s">
        <v>13</v>
      </c>
      <c r="B1186">
        <v>3</v>
      </c>
      <c r="C1186">
        <v>0</v>
      </c>
      <c r="D1186">
        <v>26.3</v>
      </c>
      <c r="E1186">
        <v>-8</v>
      </c>
      <c r="F1186">
        <v>10.175058352784299</v>
      </c>
    </row>
    <row r="1187" spans="1:6" x14ac:dyDescent="0.25">
      <c r="A1187" t="s">
        <v>13</v>
      </c>
      <c r="B1187">
        <v>3</v>
      </c>
      <c r="C1187">
        <v>0</v>
      </c>
      <c r="D1187">
        <v>26.65</v>
      </c>
      <c r="E1187">
        <v>-8</v>
      </c>
      <c r="F1187">
        <v>10.409803267755899</v>
      </c>
    </row>
    <row r="1188" spans="1:6" x14ac:dyDescent="0.25">
      <c r="A1188" t="s">
        <v>13</v>
      </c>
      <c r="B1188">
        <v>3</v>
      </c>
      <c r="C1188">
        <v>0</v>
      </c>
      <c r="D1188">
        <v>27</v>
      </c>
      <c r="E1188">
        <v>-8</v>
      </c>
      <c r="F1188">
        <v>10.512504168055999</v>
      </c>
    </row>
    <row r="1189" spans="1:6" x14ac:dyDescent="0.25">
      <c r="A1189" t="s">
        <v>13</v>
      </c>
      <c r="B1189">
        <v>3</v>
      </c>
      <c r="C1189">
        <v>0</v>
      </c>
      <c r="D1189">
        <v>27.35</v>
      </c>
      <c r="E1189">
        <v>-8</v>
      </c>
      <c r="F1189">
        <v>10.475825275091699</v>
      </c>
    </row>
    <row r="1190" spans="1:6" x14ac:dyDescent="0.25">
      <c r="A1190" t="s">
        <v>13</v>
      </c>
      <c r="B1190">
        <v>3</v>
      </c>
      <c r="C1190">
        <v>0</v>
      </c>
      <c r="D1190">
        <v>27.7</v>
      </c>
      <c r="E1190">
        <v>-8</v>
      </c>
      <c r="F1190">
        <v>10.314438146048699</v>
      </c>
    </row>
    <row r="1191" spans="1:6" x14ac:dyDescent="0.25">
      <c r="A1191" t="s">
        <v>13</v>
      </c>
      <c r="B1191">
        <v>3</v>
      </c>
      <c r="C1191">
        <v>0</v>
      </c>
      <c r="D1191">
        <v>28.05</v>
      </c>
      <c r="E1191">
        <v>-8</v>
      </c>
      <c r="F1191">
        <v>10.0430143381127</v>
      </c>
    </row>
    <row r="1192" spans="1:6" x14ac:dyDescent="0.25">
      <c r="A1192" t="s">
        <v>13</v>
      </c>
      <c r="B1192">
        <v>3</v>
      </c>
      <c r="C1192">
        <v>0</v>
      </c>
      <c r="D1192">
        <v>28.4</v>
      </c>
      <c r="E1192">
        <v>-8</v>
      </c>
      <c r="F1192">
        <v>8.9133044348116108</v>
      </c>
    </row>
    <row r="1193" spans="1:6" x14ac:dyDescent="0.25">
      <c r="A1193" t="s">
        <v>13</v>
      </c>
      <c r="B1193">
        <v>3</v>
      </c>
      <c r="C1193">
        <v>0</v>
      </c>
      <c r="D1193">
        <v>28.75</v>
      </c>
      <c r="E1193">
        <v>-8</v>
      </c>
      <c r="F1193">
        <v>4.1303767922640899</v>
      </c>
    </row>
    <row r="1194" spans="1:6" x14ac:dyDescent="0.25">
      <c r="A1194" t="s">
        <v>13</v>
      </c>
      <c r="B1194">
        <v>3</v>
      </c>
      <c r="C1194">
        <v>0</v>
      </c>
      <c r="D1194">
        <v>29.1</v>
      </c>
      <c r="E1194">
        <v>-8</v>
      </c>
      <c r="F1194">
        <v>3.0006668889629902</v>
      </c>
    </row>
    <row r="1195" spans="1:6" x14ac:dyDescent="0.25">
      <c r="A1195" t="s">
        <v>13</v>
      </c>
      <c r="B1195">
        <v>4</v>
      </c>
      <c r="C1195">
        <v>0</v>
      </c>
      <c r="D1195">
        <v>33.9</v>
      </c>
      <c r="E1195">
        <v>-8</v>
      </c>
      <c r="F1195">
        <v>3.0829718607496401</v>
      </c>
    </row>
    <row r="1196" spans="1:6" x14ac:dyDescent="0.25">
      <c r="A1196" t="s">
        <v>13</v>
      </c>
      <c r="B1196">
        <v>4</v>
      </c>
      <c r="C1196">
        <v>0</v>
      </c>
      <c r="D1196">
        <v>34.25</v>
      </c>
      <c r="E1196">
        <v>-8</v>
      </c>
      <c r="F1196">
        <v>3.1196752307863398</v>
      </c>
    </row>
    <row r="1197" spans="1:6" x14ac:dyDescent="0.25">
      <c r="A1197" t="s">
        <v>13</v>
      </c>
      <c r="B1197">
        <v>4</v>
      </c>
      <c r="C1197">
        <v>0</v>
      </c>
      <c r="D1197">
        <v>34.6</v>
      </c>
      <c r="E1197">
        <v>-8</v>
      </c>
      <c r="F1197">
        <v>3.25180736291848</v>
      </c>
    </row>
    <row r="1198" spans="1:6" x14ac:dyDescent="0.25">
      <c r="A1198" t="s">
        <v>13</v>
      </c>
      <c r="B1198">
        <v>4</v>
      </c>
      <c r="C1198">
        <v>0</v>
      </c>
      <c r="D1198">
        <v>34.950000000000003</v>
      </c>
      <c r="E1198">
        <v>-8</v>
      </c>
      <c r="F1198">
        <v>8.8233789344900497</v>
      </c>
    </row>
    <row r="1199" spans="1:6" x14ac:dyDescent="0.25">
      <c r="A1199" t="s">
        <v>13</v>
      </c>
      <c r="B1199">
        <v>4</v>
      </c>
      <c r="C1199">
        <v>0</v>
      </c>
      <c r="D1199">
        <v>35.299999999999997</v>
      </c>
      <c r="E1199">
        <v>-8</v>
      </c>
      <c r="F1199">
        <v>10.2548103659215</v>
      </c>
    </row>
    <row r="1200" spans="1:6" x14ac:dyDescent="0.25">
      <c r="A1200" t="s">
        <v>13</v>
      </c>
      <c r="B1200">
        <v>4</v>
      </c>
      <c r="C1200">
        <v>0</v>
      </c>
      <c r="D1200">
        <v>35.65</v>
      </c>
      <c r="E1200">
        <v>-8</v>
      </c>
      <c r="F1200">
        <v>10.416305194083</v>
      </c>
    </row>
    <row r="1201" spans="1:6" x14ac:dyDescent="0.25">
      <c r="A1201" t="s">
        <v>13</v>
      </c>
      <c r="B1201">
        <v>4</v>
      </c>
      <c r="C1201">
        <v>0</v>
      </c>
      <c r="D1201">
        <v>36</v>
      </c>
      <c r="E1201">
        <v>-8</v>
      </c>
      <c r="F1201">
        <v>10.453008564119701</v>
      </c>
    </row>
    <row r="1202" spans="1:6" x14ac:dyDescent="0.25">
      <c r="A1202" t="s">
        <v>13</v>
      </c>
      <c r="B1202">
        <v>4</v>
      </c>
      <c r="C1202">
        <v>0</v>
      </c>
      <c r="D1202">
        <v>36.35</v>
      </c>
      <c r="E1202">
        <v>-8</v>
      </c>
      <c r="F1202">
        <v>10.453008564119701</v>
      </c>
    </row>
    <row r="1203" spans="1:6" x14ac:dyDescent="0.25">
      <c r="A1203" t="s">
        <v>13</v>
      </c>
      <c r="B1203">
        <v>4</v>
      </c>
      <c r="C1203">
        <v>0</v>
      </c>
      <c r="D1203">
        <v>36.700000000000003</v>
      </c>
      <c r="E1203">
        <v>-8</v>
      </c>
      <c r="F1203">
        <v>10.3502391280169</v>
      </c>
    </row>
    <row r="1204" spans="1:6" x14ac:dyDescent="0.25">
      <c r="A1204" t="s">
        <v>13</v>
      </c>
      <c r="B1204">
        <v>4</v>
      </c>
      <c r="C1204">
        <v>0</v>
      </c>
      <c r="D1204">
        <v>37.049999999999997</v>
      </c>
      <c r="E1204">
        <v>-8</v>
      </c>
      <c r="F1204">
        <v>9.9538427316205098</v>
      </c>
    </row>
    <row r="1205" spans="1:6" x14ac:dyDescent="0.25">
      <c r="A1205" t="s">
        <v>13</v>
      </c>
      <c r="B1205">
        <v>4</v>
      </c>
      <c r="C1205">
        <v>0</v>
      </c>
      <c r="D1205">
        <v>37.4</v>
      </c>
      <c r="E1205">
        <v>-8</v>
      </c>
      <c r="F1205">
        <v>2.5544433322211102</v>
      </c>
    </row>
    <row r="1206" spans="1:6" x14ac:dyDescent="0.25">
      <c r="A1206" t="s">
        <v>13</v>
      </c>
      <c r="B1206">
        <v>4</v>
      </c>
      <c r="C1206">
        <v>0</v>
      </c>
      <c r="D1206">
        <v>37.75</v>
      </c>
      <c r="E1206">
        <v>-8</v>
      </c>
      <c r="F1206">
        <v>2.5544433322211102</v>
      </c>
    </row>
    <row r="1207" spans="1:6" x14ac:dyDescent="0.25">
      <c r="A1207" t="s">
        <v>13</v>
      </c>
      <c r="B1207">
        <v>4</v>
      </c>
      <c r="C1207">
        <v>0</v>
      </c>
      <c r="D1207">
        <v>38.1</v>
      </c>
      <c r="E1207">
        <v>-8</v>
      </c>
      <c r="F1207">
        <v>2.8187075964853801</v>
      </c>
    </row>
    <row r="1208" spans="1:6" x14ac:dyDescent="0.25">
      <c r="A1208" t="s">
        <v>13</v>
      </c>
      <c r="B1208">
        <v>5</v>
      </c>
      <c r="C1208">
        <v>0</v>
      </c>
      <c r="D1208">
        <v>42.9</v>
      </c>
      <c r="E1208">
        <v>-8</v>
      </c>
      <c r="F1208">
        <v>3.0924944812362001</v>
      </c>
    </row>
    <row r="1209" spans="1:6" x14ac:dyDescent="0.25">
      <c r="A1209" t="s">
        <v>13</v>
      </c>
      <c r="B1209">
        <v>5</v>
      </c>
      <c r="C1209">
        <v>0</v>
      </c>
      <c r="D1209">
        <v>43.25</v>
      </c>
      <c r="E1209">
        <v>-8</v>
      </c>
      <c r="F1209">
        <v>3.1216335540838802</v>
      </c>
    </row>
    <row r="1210" spans="1:6" x14ac:dyDescent="0.25">
      <c r="A1210" t="s">
        <v>13</v>
      </c>
      <c r="B1210">
        <v>5</v>
      </c>
      <c r="C1210">
        <v>0</v>
      </c>
      <c r="D1210">
        <v>43.6</v>
      </c>
      <c r="E1210">
        <v>-8</v>
      </c>
      <c r="F1210">
        <v>3.1216335540838802</v>
      </c>
    </row>
    <row r="1211" spans="1:6" x14ac:dyDescent="0.25">
      <c r="A1211" t="s">
        <v>13</v>
      </c>
      <c r="B1211">
        <v>5</v>
      </c>
      <c r="C1211">
        <v>0</v>
      </c>
      <c r="D1211">
        <v>43.95</v>
      </c>
      <c r="E1211">
        <v>-8</v>
      </c>
      <c r="F1211">
        <v>9.1169977924944803</v>
      </c>
    </row>
    <row r="1212" spans="1:6" x14ac:dyDescent="0.25">
      <c r="A1212" t="s">
        <v>13</v>
      </c>
      <c r="B1212">
        <v>5</v>
      </c>
      <c r="C1212">
        <v>0</v>
      </c>
      <c r="D1212">
        <v>44.3</v>
      </c>
      <c r="E1212">
        <v>-8</v>
      </c>
      <c r="F1212">
        <v>10.0713024282561</v>
      </c>
    </row>
    <row r="1213" spans="1:6" x14ac:dyDescent="0.25">
      <c r="A1213" t="s">
        <v>13</v>
      </c>
      <c r="B1213">
        <v>5</v>
      </c>
      <c r="C1213">
        <v>0</v>
      </c>
      <c r="D1213">
        <v>44.65</v>
      </c>
      <c r="E1213">
        <v>-8</v>
      </c>
      <c r="F1213">
        <v>10.3699779249448</v>
      </c>
    </row>
    <row r="1214" spans="1:6" x14ac:dyDescent="0.25">
      <c r="A1214" t="s">
        <v>13</v>
      </c>
      <c r="B1214">
        <v>5</v>
      </c>
      <c r="C1214">
        <v>0</v>
      </c>
      <c r="D1214">
        <v>45</v>
      </c>
      <c r="E1214">
        <v>-8</v>
      </c>
      <c r="F1214">
        <v>10.3699779249448</v>
      </c>
    </row>
    <row r="1215" spans="1:6" x14ac:dyDescent="0.25">
      <c r="A1215" t="s">
        <v>13</v>
      </c>
      <c r="B1215">
        <v>5</v>
      </c>
      <c r="C1215">
        <v>0</v>
      </c>
      <c r="D1215">
        <v>45.35</v>
      </c>
      <c r="E1215">
        <v>-8</v>
      </c>
      <c r="F1215">
        <v>10.267991169977901</v>
      </c>
    </row>
    <row r="1216" spans="1:6" x14ac:dyDescent="0.25">
      <c r="A1216" t="s">
        <v>13</v>
      </c>
      <c r="B1216">
        <v>5</v>
      </c>
      <c r="C1216">
        <v>0</v>
      </c>
      <c r="D1216">
        <v>45.7</v>
      </c>
      <c r="E1216">
        <v>-8</v>
      </c>
      <c r="F1216">
        <v>9.9037527593819004</v>
      </c>
    </row>
    <row r="1217" spans="1:6" x14ac:dyDescent="0.25">
      <c r="A1217" t="s">
        <v>13</v>
      </c>
      <c r="B1217">
        <v>5</v>
      </c>
      <c r="C1217">
        <v>0</v>
      </c>
      <c r="D1217">
        <v>46.05</v>
      </c>
      <c r="E1217">
        <v>-8</v>
      </c>
      <c r="F1217">
        <v>8.6216335540838802</v>
      </c>
    </row>
    <row r="1218" spans="1:6" x14ac:dyDescent="0.25">
      <c r="A1218" t="s">
        <v>13</v>
      </c>
      <c r="B1218">
        <v>5</v>
      </c>
      <c r="C1218">
        <v>0</v>
      </c>
      <c r="D1218">
        <v>46.4</v>
      </c>
      <c r="E1218">
        <v>-8</v>
      </c>
      <c r="F1218">
        <v>2.7282560706401702</v>
      </c>
    </row>
    <row r="1219" spans="1:6" x14ac:dyDescent="0.25">
      <c r="A1219" t="s">
        <v>13</v>
      </c>
      <c r="B1219">
        <v>5</v>
      </c>
      <c r="C1219">
        <v>0</v>
      </c>
      <c r="D1219">
        <v>46.75</v>
      </c>
      <c r="E1219">
        <v>-8</v>
      </c>
      <c r="F1219">
        <v>2.7646799116997798</v>
      </c>
    </row>
    <row r="1220" spans="1:6" x14ac:dyDescent="0.25">
      <c r="A1220" t="s">
        <v>13</v>
      </c>
      <c r="B1220">
        <v>5</v>
      </c>
      <c r="C1220">
        <v>0</v>
      </c>
      <c r="D1220">
        <v>47.1</v>
      </c>
      <c r="E1220">
        <v>-8</v>
      </c>
      <c r="F1220">
        <v>2.8593818984547399</v>
      </c>
    </row>
    <row r="1221" spans="1:6" x14ac:dyDescent="0.25">
      <c r="A1221" t="s">
        <v>13</v>
      </c>
      <c r="B1221">
        <v>6</v>
      </c>
      <c r="C1221">
        <v>0</v>
      </c>
      <c r="D1221">
        <v>51.9</v>
      </c>
      <c r="E1221">
        <v>-8</v>
      </c>
      <c r="F1221">
        <v>3.2951365756162598</v>
      </c>
    </row>
    <row r="1222" spans="1:6" x14ac:dyDescent="0.25">
      <c r="A1222" t="s">
        <v>13</v>
      </c>
      <c r="B1222">
        <v>6</v>
      </c>
      <c r="C1222">
        <v>0</v>
      </c>
      <c r="D1222">
        <v>52.25</v>
      </c>
      <c r="E1222">
        <v>-8</v>
      </c>
      <c r="F1222">
        <v>7.6115922718187896</v>
      </c>
    </row>
    <row r="1223" spans="1:6" x14ac:dyDescent="0.25">
      <c r="A1223" t="s">
        <v>13</v>
      </c>
      <c r="B1223">
        <v>6</v>
      </c>
      <c r="C1223">
        <v>0</v>
      </c>
      <c r="D1223">
        <v>52.6</v>
      </c>
      <c r="E1223">
        <v>-8</v>
      </c>
      <c r="F1223">
        <v>9.5389740173217898</v>
      </c>
    </row>
    <row r="1224" spans="1:6" x14ac:dyDescent="0.25">
      <c r="A1224" t="s">
        <v>13</v>
      </c>
      <c r="B1224">
        <v>6</v>
      </c>
      <c r="C1224">
        <v>0</v>
      </c>
      <c r="D1224">
        <v>52.95</v>
      </c>
      <c r="E1224">
        <v>-8</v>
      </c>
      <c r="F1224">
        <v>10.3377748167888</v>
      </c>
    </row>
    <row r="1225" spans="1:6" x14ac:dyDescent="0.25">
      <c r="A1225" t="s">
        <v>13</v>
      </c>
      <c r="B1225">
        <v>6</v>
      </c>
      <c r="C1225">
        <v>0</v>
      </c>
      <c r="D1225">
        <v>53.3</v>
      </c>
      <c r="E1225">
        <v>-8</v>
      </c>
      <c r="F1225">
        <v>10.535642904730199</v>
      </c>
    </row>
    <row r="1226" spans="1:6" x14ac:dyDescent="0.25">
      <c r="A1226" t="s">
        <v>13</v>
      </c>
      <c r="B1226">
        <v>6</v>
      </c>
      <c r="C1226">
        <v>0</v>
      </c>
      <c r="D1226">
        <v>53.65</v>
      </c>
      <c r="E1226">
        <v>-8</v>
      </c>
      <c r="F1226">
        <v>10.6382411725516</v>
      </c>
    </row>
    <row r="1227" spans="1:6" x14ac:dyDescent="0.25">
      <c r="A1227" t="s">
        <v>13</v>
      </c>
      <c r="B1227">
        <v>6</v>
      </c>
      <c r="C1227">
        <v>0</v>
      </c>
      <c r="D1227">
        <v>54</v>
      </c>
      <c r="E1227">
        <v>-8</v>
      </c>
      <c r="F1227">
        <v>10.601598934044</v>
      </c>
    </row>
    <row r="1228" spans="1:6" x14ac:dyDescent="0.25">
      <c r="A1228" t="s">
        <v>13</v>
      </c>
      <c r="B1228">
        <v>6</v>
      </c>
      <c r="C1228">
        <v>0</v>
      </c>
      <c r="D1228">
        <v>54.35</v>
      </c>
      <c r="E1228">
        <v>-8</v>
      </c>
      <c r="F1228">
        <v>10.4696868754164</v>
      </c>
    </row>
    <row r="1229" spans="1:6" x14ac:dyDescent="0.25">
      <c r="A1229" t="s">
        <v>13</v>
      </c>
      <c r="B1229">
        <v>6</v>
      </c>
      <c r="C1229">
        <v>0</v>
      </c>
      <c r="D1229">
        <v>54.7</v>
      </c>
      <c r="E1229">
        <v>-8</v>
      </c>
      <c r="F1229">
        <v>10.1399067288474</v>
      </c>
    </row>
    <row r="1230" spans="1:6" x14ac:dyDescent="0.25">
      <c r="A1230" t="s">
        <v>13</v>
      </c>
      <c r="B1230">
        <v>6</v>
      </c>
      <c r="C1230">
        <v>0</v>
      </c>
      <c r="D1230">
        <v>55.05</v>
      </c>
      <c r="E1230">
        <v>-8</v>
      </c>
      <c r="F1230">
        <v>8.2784810126582293</v>
      </c>
    </row>
    <row r="1231" spans="1:6" x14ac:dyDescent="0.25">
      <c r="A1231" t="s">
        <v>13</v>
      </c>
      <c r="B1231">
        <v>6</v>
      </c>
      <c r="C1231">
        <v>0</v>
      </c>
      <c r="D1231">
        <v>55.4</v>
      </c>
      <c r="E1231">
        <v>-8</v>
      </c>
      <c r="F1231">
        <v>7.4430379746835502</v>
      </c>
    </row>
    <row r="1232" spans="1:6" x14ac:dyDescent="0.25">
      <c r="A1232" t="s">
        <v>13</v>
      </c>
      <c r="B1232">
        <v>6</v>
      </c>
      <c r="C1232">
        <v>0</v>
      </c>
      <c r="D1232">
        <v>55.75</v>
      </c>
      <c r="E1232">
        <v>-8</v>
      </c>
      <c r="F1232">
        <v>3.0899400399733499</v>
      </c>
    </row>
    <row r="1233" spans="1:6" x14ac:dyDescent="0.25">
      <c r="A1233" t="s">
        <v>13</v>
      </c>
      <c r="B1233">
        <v>6</v>
      </c>
      <c r="C1233">
        <v>0</v>
      </c>
      <c r="D1233">
        <v>56.1</v>
      </c>
      <c r="E1233">
        <v>-8</v>
      </c>
      <c r="F1233">
        <v>3.0239840106595599</v>
      </c>
    </row>
    <row r="1234" spans="1:6" x14ac:dyDescent="0.25">
      <c r="A1234" t="s">
        <v>13</v>
      </c>
      <c r="B1234">
        <v>7</v>
      </c>
      <c r="C1234">
        <v>0</v>
      </c>
      <c r="D1234">
        <v>60.9</v>
      </c>
      <c r="E1234">
        <v>-8</v>
      </c>
      <c r="F1234">
        <v>3.4546061415220199</v>
      </c>
    </row>
    <row r="1235" spans="1:6" x14ac:dyDescent="0.25">
      <c r="A1235" t="s">
        <v>13</v>
      </c>
      <c r="B1235">
        <v>7</v>
      </c>
      <c r="C1235">
        <v>0</v>
      </c>
      <c r="D1235">
        <v>61.25</v>
      </c>
      <c r="E1235">
        <v>-8</v>
      </c>
      <c r="F1235">
        <v>9.4319092122830401</v>
      </c>
    </row>
    <row r="1236" spans="1:6" x14ac:dyDescent="0.25">
      <c r="A1236" t="s">
        <v>13</v>
      </c>
      <c r="B1236">
        <v>7</v>
      </c>
      <c r="C1236">
        <v>0</v>
      </c>
      <c r="D1236">
        <v>61.6</v>
      </c>
      <c r="E1236">
        <v>-8</v>
      </c>
      <c r="F1236">
        <v>10.041388518024</v>
      </c>
    </row>
    <row r="1237" spans="1:6" x14ac:dyDescent="0.25">
      <c r="A1237" t="s">
        <v>13</v>
      </c>
      <c r="B1237">
        <v>7</v>
      </c>
      <c r="C1237">
        <v>0</v>
      </c>
      <c r="D1237">
        <v>61.95</v>
      </c>
      <c r="E1237">
        <v>-8</v>
      </c>
      <c r="F1237">
        <v>10.371829105473999</v>
      </c>
    </row>
    <row r="1238" spans="1:6" x14ac:dyDescent="0.25">
      <c r="A1238" t="s">
        <v>13</v>
      </c>
      <c r="B1238">
        <v>7</v>
      </c>
      <c r="C1238">
        <v>0</v>
      </c>
      <c r="D1238">
        <v>62.3</v>
      </c>
      <c r="E1238">
        <v>-8</v>
      </c>
      <c r="F1238">
        <v>10.6141522029372</v>
      </c>
    </row>
    <row r="1239" spans="1:6" x14ac:dyDescent="0.25">
      <c r="A1239" t="s">
        <v>13</v>
      </c>
      <c r="B1239">
        <v>7</v>
      </c>
      <c r="C1239">
        <v>0</v>
      </c>
      <c r="D1239">
        <v>62.65</v>
      </c>
      <c r="E1239">
        <v>-8</v>
      </c>
      <c r="F1239">
        <v>10.680240320427201</v>
      </c>
    </row>
    <row r="1240" spans="1:6" x14ac:dyDescent="0.25">
      <c r="A1240" t="s">
        <v>13</v>
      </c>
      <c r="B1240">
        <v>7</v>
      </c>
      <c r="C1240">
        <v>0</v>
      </c>
      <c r="D1240">
        <v>63</v>
      </c>
      <c r="E1240">
        <v>-8</v>
      </c>
      <c r="F1240">
        <v>10.5407209612817</v>
      </c>
    </row>
    <row r="1241" spans="1:6" x14ac:dyDescent="0.25">
      <c r="A1241" t="s">
        <v>13</v>
      </c>
      <c r="B1241">
        <v>7</v>
      </c>
      <c r="C1241">
        <v>0</v>
      </c>
      <c r="D1241">
        <v>63.35</v>
      </c>
      <c r="E1241">
        <v>-8</v>
      </c>
      <c r="F1241">
        <v>10.276368491321801</v>
      </c>
    </row>
    <row r="1242" spans="1:6" x14ac:dyDescent="0.25">
      <c r="A1242" t="s">
        <v>13</v>
      </c>
      <c r="B1242">
        <v>7</v>
      </c>
      <c r="C1242">
        <v>0</v>
      </c>
      <c r="D1242">
        <v>63.7</v>
      </c>
      <c r="E1242">
        <v>-8</v>
      </c>
      <c r="F1242">
        <v>9.1969292389853106</v>
      </c>
    </row>
    <row r="1243" spans="1:6" x14ac:dyDescent="0.25">
      <c r="A1243" t="s">
        <v>13</v>
      </c>
      <c r="B1243">
        <v>7</v>
      </c>
      <c r="C1243">
        <v>0</v>
      </c>
      <c r="D1243">
        <v>64.05</v>
      </c>
      <c r="E1243">
        <v>-8</v>
      </c>
      <c r="F1243">
        <v>8.6241655540720892</v>
      </c>
    </row>
    <row r="1244" spans="1:6" x14ac:dyDescent="0.25">
      <c r="A1244" t="s">
        <v>13</v>
      </c>
      <c r="B1244">
        <v>7</v>
      </c>
      <c r="C1244">
        <v>0</v>
      </c>
      <c r="D1244">
        <v>64.400000000000006</v>
      </c>
      <c r="E1244">
        <v>-8</v>
      </c>
      <c r="F1244">
        <v>6.0246995994659498</v>
      </c>
    </row>
    <row r="1245" spans="1:6" x14ac:dyDescent="0.25">
      <c r="A1245" t="s">
        <v>13</v>
      </c>
      <c r="B1245">
        <v>7</v>
      </c>
      <c r="C1245">
        <v>0</v>
      </c>
      <c r="D1245">
        <v>64.75</v>
      </c>
      <c r="E1245">
        <v>-8</v>
      </c>
      <c r="F1245">
        <v>5.6869158878504598</v>
      </c>
    </row>
    <row r="1246" spans="1:6" x14ac:dyDescent="0.25">
      <c r="A1246" t="s">
        <v>13</v>
      </c>
      <c r="B1246">
        <v>7</v>
      </c>
      <c r="C1246">
        <v>0</v>
      </c>
      <c r="D1246">
        <v>65.099999999999994</v>
      </c>
      <c r="E1246">
        <v>-8</v>
      </c>
      <c r="F1246">
        <v>3.2196261682242899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"/>
  <sheetViews>
    <sheetView workbookViewId="0">
      <selection activeCell="R3" sqref="R3"/>
    </sheetView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0</v>
      </c>
      <c r="AC2">
        <v>11</v>
      </c>
      <c r="AF2" t="s">
        <v>12</v>
      </c>
      <c r="AG2">
        <v>0</v>
      </c>
      <c r="AH2">
        <v>10</v>
      </c>
      <c r="AK2" t="s">
        <v>12</v>
      </c>
      <c r="AL2">
        <v>0</v>
      </c>
      <c r="AM2">
        <v>9</v>
      </c>
      <c r="AP2" t="s">
        <v>12</v>
      </c>
      <c r="AQ2">
        <v>0</v>
      </c>
      <c r="AR2">
        <v>8</v>
      </c>
      <c r="AU2" t="s">
        <v>12</v>
      </c>
      <c r="AV2">
        <v>0</v>
      </c>
      <c r="AW2">
        <v>7</v>
      </c>
      <c r="AZ2" t="s">
        <v>12</v>
      </c>
      <c r="BA2">
        <v>0</v>
      </c>
      <c r="BB2">
        <v>6</v>
      </c>
      <c r="BE2" t="s">
        <v>12</v>
      </c>
      <c r="BF2">
        <v>0</v>
      </c>
      <c r="BG2">
        <v>5</v>
      </c>
      <c r="BJ2" t="s">
        <v>12</v>
      </c>
      <c r="BK2">
        <v>0</v>
      </c>
      <c r="BL2">
        <v>4</v>
      </c>
      <c r="BO2" t="s">
        <v>12</v>
      </c>
      <c r="BP2">
        <v>0</v>
      </c>
      <c r="BQ2">
        <v>3</v>
      </c>
      <c r="BT2" t="s">
        <v>12</v>
      </c>
      <c r="BU2">
        <v>0</v>
      </c>
      <c r="BV2">
        <v>2</v>
      </c>
      <c r="BY2" t="s">
        <v>12</v>
      </c>
      <c r="BZ2">
        <v>0</v>
      </c>
      <c r="CA2">
        <v>1</v>
      </c>
      <c r="CD2" t="s">
        <v>12</v>
      </c>
      <c r="CE2">
        <v>0</v>
      </c>
      <c r="CF2">
        <v>0</v>
      </c>
    </row>
    <row r="3" spans="1:85" x14ac:dyDescent="0.25">
      <c r="R3">
        <f>B12</f>
        <v>-0.23891640866873476</v>
      </c>
      <c r="S3">
        <v>-99</v>
      </c>
    </row>
    <row r="4" spans="1:85" x14ac:dyDescent="0.25">
      <c r="R4">
        <f>B25</f>
        <v>-0.16322459185460392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>
        <f>B38</f>
        <v>-0.13792300482318035</v>
      </c>
      <c r="S5">
        <v>-81</v>
      </c>
      <c r="AA5">
        <v>0</v>
      </c>
      <c r="AB5">
        <v>11</v>
      </c>
      <c r="AC5">
        <v>-2.1</v>
      </c>
      <c r="AD5">
        <v>8.5266022436965496</v>
      </c>
      <c r="AF5">
        <v>0</v>
      </c>
      <c r="AG5">
        <v>10</v>
      </c>
      <c r="AH5">
        <v>-2.1</v>
      </c>
      <c r="AI5">
        <v>8.0207708541597196</v>
      </c>
      <c r="AK5">
        <v>0</v>
      </c>
      <c r="AL5">
        <v>9</v>
      </c>
      <c r="AM5">
        <v>-2.1</v>
      </c>
      <c r="AN5">
        <v>7.8814839497945099</v>
      </c>
      <c r="AP5">
        <v>0</v>
      </c>
      <c r="AQ5">
        <v>8</v>
      </c>
      <c r="AR5">
        <v>-2.1</v>
      </c>
      <c r="AS5">
        <v>7.68354992780184</v>
      </c>
      <c r="AU5">
        <v>0</v>
      </c>
      <c r="AV5">
        <v>7</v>
      </c>
      <c r="AW5">
        <v>-2.1</v>
      </c>
      <c r="AX5">
        <v>7.4416305675885797</v>
      </c>
      <c r="AZ5">
        <v>0</v>
      </c>
      <c r="BA5">
        <v>6</v>
      </c>
      <c r="BB5">
        <v>-2.1</v>
      </c>
      <c r="BC5">
        <v>7.5149394646229002</v>
      </c>
      <c r="BE5">
        <v>0</v>
      </c>
      <c r="BF5">
        <v>5</v>
      </c>
      <c r="BG5">
        <v>-2.1</v>
      </c>
      <c r="BH5">
        <v>7.4782850161057404</v>
      </c>
      <c r="BJ5">
        <v>0</v>
      </c>
      <c r="BK5">
        <v>4</v>
      </c>
      <c r="BL5">
        <v>-2.1</v>
      </c>
      <c r="BM5">
        <v>7.0091080750860799</v>
      </c>
      <c r="BO5">
        <v>0</v>
      </c>
      <c r="BP5">
        <v>3</v>
      </c>
      <c r="BQ5">
        <v>-1.75</v>
      </c>
      <c r="BR5">
        <v>8.4239697878485007</v>
      </c>
      <c r="BT5">
        <v>0</v>
      </c>
      <c r="BU5">
        <v>2</v>
      </c>
      <c r="BV5">
        <v>-1.75</v>
      </c>
      <c r="BW5">
        <v>8.0500944129734506</v>
      </c>
      <c r="BY5">
        <v>0</v>
      </c>
      <c r="BZ5">
        <v>1</v>
      </c>
      <c r="CA5">
        <v>-1.75</v>
      </c>
      <c r="CB5">
        <v>7.8814839497945099</v>
      </c>
      <c r="CD5">
        <v>0</v>
      </c>
      <c r="CE5">
        <v>0</v>
      </c>
      <c r="CF5">
        <v>-1.75</v>
      </c>
      <c r="CG5">
        <v>7.6102410307675203</v>
      </c>
    </row>
    <row r="6" spans="1:85" x14ac:dyDescent="0.25">
      <c r="R6">
        <f>F12</f>
        <v>-6.5805019147722299E-2</v>
      </c>
      <c r="S6">
        <v>-72</v>
      </c>
      <c r="AA6">
        <v>0</v>
      </c>
      <c r="AB6">
        <v>11</v>
      </c>
      <c r="AC6">
        <v>-1.75</v>
      </c>
      <c r="AD6">
        <v>9.3989781184049797</v>
      </c>
      <c r="AF6">
        <v>0</v>
      </c>
      <c r="AG6">
        <v>10</v>
      </c>
      <c r="AH6">
        <v>-1.75</v>
      </c>
      <c r="AI6">
        <v>8.9957791847162092</v>
      </c>
      <c r="AK6">
        <v>0</v>
      </c>
      <c r="AL6">
        <v>9</v>
      </c>
      <c r="AM6">
        <v>-1.75</v>
      </c>
      <c r="AN6">
        <v>8.9957791847162092</v>
      </c>
      <c r="AP6">
        <v>0</v>
      </c>
      <c r="AQ6">
        <v>8</v>
      </c>
      <c r="AR6">
        <v>-1.75</v>
      </c>
      <c r="AS6">
        <v>8.8931467288681496</v>
      </c>
      <c r="AU6">
        <v>0</v>
      </c>
      <c r="AV6">
        <v>7</v>
      </c>
      <c r="AW6">
        <v>-1.75</v>
      </c>
      <c r="AX6">
        <v>8.7611907142063803</v>
      </c>
      <c r="AZ6">
        <v>0</v>
      </c>
      <c r="BA6">
        <v>6</v>
      </c>
      <c r="BB6">
        <v>-1.75</v>
      </c>
      <c r="BC6">
        <v>8.9298011773853201</v>
      </c>
      <c r="BE6">
        <v>0</v>
      </c>
      <c r="BF6">
        <v>5</v>
      </c>
      <c r="BG6">
        <v>-1.75</v>
      </c>
      <c r="BH6">
        <v>9.0251027435299296</v>
      </c>
      <c r="BJ6">
        <v>0</v>
      </c>
      <c r="BK6">
        <v>4</v>
      </c>
      <c r="BL6">
        <v>-1.75</v>
      </c>
      <c r="BM6">
        <v>8.68788181717205</v>
      </c>
      <c r="BO6">
        <v>0</v>
      </c>
      <c r="BP6">
        <v>3</v>
      </c>
      <c r="BQ6">
        <v>-1.4</v>
      </c>
      <c r="BR6">
        <v>9.3989781184049797</v>
      </c>
      <c r="BT6">
        <v>0</v>
      </c>
      <c r="BU6">
        <v>2</v>
      </c>
      <c r="BV6">
        <v>-1.4</v>
      </c>
      <c r="BW6">
        <v>9.1277351993779892</v>
      </c>
      <c r="BY6">
        <v>0</v>
      </c>
      <c r="BZ6">
        <v>1</v>
      </c>
      <c r="CA6">
        <v>-1.4</v>
      </c>
      <c r="CB6">
        <v>9.0617571920471001</v>
      </c>
      <c r="CD6">
        <v>0</v>
      </c>
      <c r="CE6">
        <v>0</v>
      </c>
      <c r="CF6">
        <v>-1.4</v>
      </c>
      <c r="CG6">
        <v>8.9957791847162092</v>
      </c>
    </row>
    <row r="7" spans="1:85" x14ac:dyDescent="0.25">
      <c r="R7">
        <f>F25</f>
        <v>-8.6645068732068675E-2</v>
      </c>
      <c r="S7">
        <v>-63</v>
      </c>
      <c r="AA7">
        <v>0</v>
      </c>
      <c r="AB7">
        <v>11</v>
      </c>
      <c r="AC7">
        <v>-1.4</v>
      </c>
      <c r="AD7">
        <v>9.9048095079418008</v>
      </c>
      <c r="AF7">
        <v>0</v>
      </c>
      <c r="AG7">
        <v>10</v>
      </c>
      <c r="AH7">
        <v>-1.4</v>
      </c>
      <c r="AI7">
        <v>9.7361990447628592</v>
      </c>
      <c r="AK7">
        <v>0</v>
      </c>
      <c r="AL7">
        <v>9</v>
      </c>
      <c r="AM7">
        <v>-1.4</v>
      </c>
      <c r="AN7">
        <v>9.6995445962456994</v>
      </c>
      <c r="AP7">
        <v>0</v>
      </c>
      <c r="AQ7">
        <v>8</v>
      </c>
      <c r="AR7">
        <v>-1.4</v>
      </c>
      <c r="AS7">
        <v>9.5675885815839194</v>
      </c>
      <c r="AU7">
        <v>0</v>
      </c>
      <c r="AV7">
        <v>7</v>
      </c>
      <c r="AW7">
        <v>-1.4</v>
      </c>
      <c r="AX7">
        <v>9.4356325669221395</v>
      </c>
      <c r="AZ7">
        <v>0</v>
      </c>
      <c r="BA7">
        <v>6</v>
      </c>
      <c r="BB7">
        <v>-1.4</v>
      </c>
      <c r="BC7">
        <v>9.6042430301010793</v>
      </c>
      <c r="BE7">
        <v>0</v>
      </c>
      <c r="BF7">
        <v>5</v>
      </c>
      <c r="BG7">
        <v>-1.4</v>
      </c>
      <c r="BH7">
        <v>9.7361990447628592</v>
      </c>
      <c r="BJ7">
        <v>0</v>
      </c>
      <c r="BK7">
        <v>4</v>
      </c>
      <c r="BL7">
        <v>-1.4</v>
      </c>
      <c r="BM7">
        <v>9.5309341330667507</v>
      </c>
      <c r="BO7">
        <v>0</v>
      </c>
      <c r="BP7">
        <v>3</v>
      </c>
      <c r="BQ7">
        <v>-1.05</v>
      </c>
      <c r="BR7">
        <v>9.9048095079418008</v>
      </c>
      <c r="BT7">
        <v>0</v>
      </c>
      <c r="BU7">
        <v>2</v>
      </c>
      <c r="BV7">
        <v>-1.05</v>
      </c>
      <c r="BW7">
        <v>9.8388315006109099</v>
      </c>
      <c r="BY7">
        <v>0</v>
      </c>
      <c r="BZ7">
        <v>1</v>
      </c>
      <c r="CA7">
        <v>-1.05</v>
      </c>
      <c r="CB7">
        <v>9.7361990447628592</v>
      </c>
      <c r="CD7">
        <v>0</v>
      </c>
      <c r="CE7">
        <v>0</v>
      </c>
      <c r="CF7">
        <v>-1.05</v>
      </c>
      <c r="CG7">
        <v>9.6702210374319701</v>
      </c>
    </row>
    <row r="8" spans="1:85" x14ac:dyDescent="0.25">
      <c r="R8">
        <f>F38</f>
        <v>-9.2457672310360575E-2</v>
      </c>
      <c r="S8">
        <v>-54</v>
      </c>
      <c r="AA8">
        <v>0</v>
      </c>
      <c r="AB8">
        <v>11</v>
      </c>
      <c r="AC8">
        <v>-1.05</v>
      </c>
      <c r="AD8">
        <v>10.271353993113401</v>
      </c>
      <c r="AF8">
        <v>0</v>
      </c>
      <c r="AG8">
        <v>10</v>
      </c>
      <c r="AH8">
        <v>-1.05</v>
      </c>
      <c r="AI8">
        <v>10.205375985782499</v>
      </c>
      <c r="AK8">
        <v>0</v>
      </c>
      <c r="AL8">
        <v>9</v>
      </c>
      <c r="AM8">
        <v>-1.05</v>
      </c>
      <c r="AN8">
        <v>10.1760524269688</v>
      </c>
      <c r="AP8">
        <v>0</v>
      </c>
      <c r="AQ8">
        <v>8</v>
      </c>
      <c r="AR8">
        <v>-1.05</v>
      </c>
      <c r="AS8">
        <v>10.0734199711207</v>
      </c>
      <c r="AU8">
        <v>0</v>
      </c>
      <c r="AV8">
        <v>7</v>
      </c>
      <c r="AW8">
        <v>-1.05</v>
      </c>
      <c r="AX8">
        <v>9.9414639564589606</v>
      </c>
      <c r="AZ8">
        <v>0</v>
      </c>
      <c r="BA8">
        <v>6</v>
      </c>
      <c r="BB8">
        <v>-1.05</v>
      </c>
      <c r="BC8">
        <v>10.0367655226036</v>
      </c>
      <c r="BE8">
        <v>0</v>
      </c>
      <c r="BF8">
        <v>5</v>
      </c>
      <c r="BG8">
        <v>-1.05</v>
      </c>
      <c r="BH8">
        <v>10.1393979784516</v>
      </c>
      <c r="BJ8">
        <v>0</v>
      </c>
      <c r="BK8">
        <v>4</v>
      </c>
      <c r="BL8">
        <v>-1.05</v>
      </c>
      <c r="BM8">
        <v>10.0367655226036</v>
      </c>
      <c r="BO8">
        <v>0</v>
      </c>
      <c r="BP8">
        <v>3</v>
      </c>
      <c r="BQ8">
        <v>-0.7</v>
      </c>
      <c r="BR8">
        <v>10.3080084416306</v>
      </c>
      <c r="BT8">
        <v>0</v>
      </c>
      <c r="BU8">
        <v>2</v>
      </c>
      <c r="BV8">
        <v>-0.7</v>
      </c>
      <c r="BW8">
        <v>10.2420304342997</v>
      </c>
      <c r="BY8">
        <v>0</v>
      </c>
      <c r="BZ8">
        <v>1</v>
      </c>
      <c r="CA8">
        <v>-0.7</v>
      </c>
      <c r="CB8">
        <v>10.2420304342997</v>
      </c>
      <c r="CD8">
        <v>0</v>
      </c>
      <c r="CE8">
        <v>0</v>
      </c>
      <c r="CF8">
        <v>-0.7</v>
      </c>
      <c r="CG8">
        <v>10.205375985782499</v>
      </c>
    </row>
    <row r="9" spans="1:85" x14ac:dyDescent="0.25">
      <c r="R9">
        <f>J12</f>
        <v>-7.2257158148242587E-2</v>
      </c>
      <c r="S9">
        <v>-45</v>
      </c>
      <c r="AA9">
        <v>0</v>
      </c>
      <c r="AB9">
        <v>11</v>
      </c>
      <c r="AC9">
        <v>-0.7</v>
      </c>
      <c r="AD9">
        <v>10.5425969121404</v>
      </c>
      <c r="AF9">
        <v>0</v>
      </c>
      <c r="AG9">
        <v>10</v>
      </c>
      <c r="AH9">
        <v>-0.7</v>
      </c>
      <c r="AI9">
        <v>10.513273353326699</v>
      </c>
      <c r="AK9">
        <v>0</v>
      </c>
      <c r="AL9">
        <v>9</v>
      </c>
      <c r="AM9">
        <v>-0.7</v>
      </c>
      <c r="AN9">
        <v>10.410640897478601</v>
      </c>
      <c r="AP9">
        <v>0</v>
      </c>
      <c r="AQ9">
        <v>8</v>
      </c>
      <c r="AR9">
        <v>-0.7</v>
      </c>
      <c r="AS9">
        <v>10.373986448961499</v>
      </c>
      <c r="AU9">
        <v>0</v>
      </c>
      <c r="AV9">
        <v>7</v>
      </c>
      <c r="AW9">
        <v>-0.7</v>
      </c>
      <c r="AX9">
        <v>10.3080084416306</v>
      </c>
      <c r="AZ9">
        <v>0</v>
      </c>
      <c r="BA9">
        <v>6</v>
      </c>
      <c r="BB9">
        <v>-0.7</v>
      </c>
      <c r="BC9">
        <v>10.373986448961499</v>
      </c>
      <c r="BE9">
        <v>0</v>
      </c>
      <c r="BF9">
        <v>5</v>
      </c>
      <c r="BG9">
        <v>-0.7</v>
      </c>
      <c r="BH9">
        <v>10.4399644562923</v>
      </c>
      <c r="BJ9">
        <v>0</v>
      </c>
      <c r="BK9">
        <v>4</v>
      </c>
      <c r="BL9">
        <v>-0.7</v>
      </c>
      <c r="BM9">
        <v>10.373986448961499</v>
      </c>
      <c r="BO9">
        <v>0</v>
      </c>
      <c r="BP9">
        <v>3</v>
      </c>
      <c r="BQ9">
        <v>-0.35</v>
      </c>
      <c r="BR9">
        <v>10.513273353326699</v>
      </c>
      <c r="BT9">
        <v>0</v>
      </c>
      <c r="BU9">
        <v>2</v>
      </c>
      <c r="BV9">
        <v>-0.35</v>
      </c>
      <c r="BW9">
        <v>10.4766189048095</v>
      </c>
      <c r="BY9">
        <v>0</v>
      </c>
      <c r="BZ9">
        <v>1</v>
      </c>
      <c r="CA9">
        <v>-0.35</v>
      </c>
      <c r="CB9">
        <v>10.4399644562923</v>
      </c>
      <c r="CD9">
        <v>0</v>
      </c>
      <c r="CE9">
        <v>0</v>
      </c>
      <c r="CF9">
        <v>-0.35</v>
      </c>
      <c r="CG9">
        <v>10.410640897478601</v>
      </c>
    </row>
    <row r="10" spans="1:85" x14ac:dyDescent="0.25">
      <c r="R10">
        <f>J25</f>
        <v>9.4359563895247724E-3</v>
      </c>
      <c r="S10">
        <v>-36</v>
      </c>
      <c r="AA10">
        <v>0</v>
      </c>
      <c r="AB10">
        <v>11</v>
      </c>
      <c r="AC10">
        <v>-0.35</v>
      </c>
      <c r="AD10">
        <v>10.579251360657601</v>
      </c>
      <c r="AF10">
        <v>0</v>
      </c>
      <c r="AG10">
        <v>10</v>
      </c>
      <c r="AH10">
        <v>-0.35</v>
      </c>
      <c r="AI10">
        <v>10.513273353326699</v>
      </c>
      <c r="AK10">
        <v>0</v>
      </c>
      <c r="AL10">
        <v>9</v>
      </c>
      <c r="AM10">
        <v>-0.35</v>
      </c>
      <c r="AN10">
        <v>10.5425969121404</v>
      </c>
      <c r="AP10">
        <v>0</v>
      </c>
      <c r="AQ10">
        <v>8</v>
      </c>
      <c r="AR10">
        <v>-0.35</v>
      </c>
      <c r="AS10">
        <v>10.5425969121404</v>
      </c>
      <c r="AU10">
        <v>0</v>
      </c>
      <c r="AV10">
        <v>7</v>
      </c>
      <c r="AW10">
        <v>-0.35</v>
      </c>
      <c r="AX10">
        <v>10.4766189048095</v>
      </c>
      <c r="AZ10">
        <v>0</v>
      </c>
      <c r="BA10">
        <v>6</v>
      </c>
      <c r="BB10">
        <v>-0.35</v>
      </c>
      <c r="BC10">
        <v>10.5425969121404</v>
      </c>
      <c r="BE10">
        <v>0</v>
      </c>
      <c r="BF10">
        <v>5</v>
      </c>
      <c r="BG10">
        <v>-0.35</v>
      </c>
      <c r="BH10">
        <v>10.645229367988399</v>
      </c>
      <c r="BJ10">
        <v>0</v>
      </c>
      <c r="BK10">
        <v>4</v>
      </c>
      <c r="BL10">
        <v>-0.35</v>
      </c>
      <c r="BM10">
        <v>10.579251360657601</v>
      </c>
      <c r="BO10">
        <v>0</v>
      </c>
      <c r="BP10">
        <v>3</v>
      </c>
      <c r="BQ10" s="1">
        <v>-4.4408920985006301E-16</v>
      </c>
      <c r="BR10">
        <v>10.6085749194713</v>
      </c>
      <c r="BT10">
        <v>0</v>
      </c>
      <c r="BU10">
        <v>2</v>
      </c>
      <c r="BV10" s="1">
        <v>-4.4408920985006301E-16</v>
      </c>
      <c r="BW10">
        <v>10.579251360657601</v>
      </c>
      <c r="BY10">
        <v>0</v>
      </c>
      <c r="BZ10">
        <v>1</v>
      </c>
      <c r="CA10" s="1">
        <v>-4.4408920985006301E-16</v>
      </c>
      <c r="CB10">
        <v>10.645229367988399</v>
      </c>
      <c r="CD10">
        <v>0</v>
      </c>
      <c r="CE10">
        <v>0</v>
      </c>
      <c r="CF10" s="1">
        <v>-4.4408920985006301E-16</v>
      </c>
      <c r="CG10">
        <v>10.6085749194713</v>
      </c>
    </row>
    <row r="11" spans="1:85" x14ac:dyDescent="0.25">
      <c r="B11">
        <f>INDEX(LINEST([0]!y_s1_c12,[0]!x_s1_c12^{1,2}),1)</f>
        <v>-0.63080316329234321</v>
      </c>
      <c r="C11">
        <f>INDEX(LINEST([0]!y_s1_c12,[0]!x_s1_c12^{1,2}),1,2)</f>
        <v>-0.30141845270136819</v>
      </c>
      <c r="F11">
        <f>INDEX(LINEST([0]!y_s1_c9,[0]!x_s1_c9^{1,2}),1)</f>
        <v>-0.73373165063690748</v>
      </c>
      <c r="G11">
        <f>INDEX(LINEST([0]!y_s1_c9,[0]!x_s1_c9^{1,2}),1,2)</f>
        <v>-9.6566450638903165E-2</v>
      </c>
      <c r="J11">
        <f>INDEX(LINEST([0]!y_s1_c6,[0]!x_s1_c6^{1,2}),1)</f>
        <v>-0.78194761871630269</v>
      </c>
      <c r="K11">
        <f>INDEX(LINEST([0]!y_s1_c6,[0]!x_s1_c6^{1,2}),1,2)</f>
        <v>-0.11300262549845115</v>
      </c>
      <c r="N11">
        <f>INDEX(LINEST([0]!y_s1_c3,[0]!x_s1_c3^{1,2}),1)</f>
        <v>-0.75683824910274144</v>
      </c>
      <c r="O11">
        <f>INDEX(LINEST([0]!y_s1_c3,[0]!x_s1_c3^{1,2}),1,2)</f>
        <v>0.19403056124149548</v>
      </c>
      <c r="R11">
        <f>J38</f>
        <v>5.194306569342607E-2</v>
      </c>
      <c r="S11">
        <v>-27</v>
      </c>
      <c r="AA11">
        <v>0</v>
      </c>
      <c r="AB11">
        <v>11</v>
      </c>
      <c r="AC11" s="1">
        <v>-4.4408920985006301E-16</v>
      </c>
      <c r="AD11">
        <v>10.579251360657601</v>
      </c>
      <c r="AF11">
        <v>0</v>
      </c>
      <c r="AG11">
        <v>10</v>
      </c>
      <c r="AH11" s="1">
        <v>-4.4408920985006301E-16</v>
      </c>
      <c r="AI11">
        <v>10.6085749194713</v>
      </c>
      <c r="AK11">
        <v>0</v>
      </c>
      <c r="AL11">
        <v>9</v>
      </c>
      <c r="AM11" s="1">
        <v>-4.4408920985006301E-16</v>
      </c>
      <c r="AN11">
        <v>10.579251360657601</v>
      </c>
      <c r="AP11">
        <v>0</v>
      </c>
      <c r="AQ11">
        <v>8</v>
      </c>
      <c r="AR11" s="1">
        <v>-4.4408920985006301E-16</v>
      </c>
      <c r="AS11">
        <v>10.579251360657601</v>
      </c>
      <c r="AU11">
        <v>0</v>
      </c>
      <c r="AV11">
        <v>7</v>
      </c>
      <c r="AW11" s="1">
        <v>-4.4408920985006301E-16</v>
      </c>
      <c r="AX11">
        <v>10.5425969121404</v>
      </c>
      <c r="AZ11">
        <v>0</v>
      </c>
      <c r="BA11">
        <v>6</v>
      </c>
      <c r="BB11" s="1">
        <v>-4.4408920985006301E-16</v>
      </c>
      <c r="BC11">
        <v>10.6085749194713</v>
      </c>
      <c r="BE11">
        <v>0</v>
      </c>
      <c r="BF11">
        <v>5</v>
      </c>
      <c r="BG11" s="1">
        <v>-4.4408920985006301E-16</v>
      </c>
      <c r="BH11">
        <v>10.711207375319299</v>
      </c>
      <c r="BJ11">
        <v>0</v>
      </c>
      <c r="BK11">
        <v>4</v>
      </c>
      <c r="BL11" s="1">
        <v>-4.4408920985006301E-16</v>
      </c>
      <c r="BM11">
        <v>10.6085749194713</v>
      </c>
      <c r="BO11">
        <v>0</v>
      </c>
      <c r="BP11">
        <v>3</v>
      </c>
      <c r="BQ11">
        <v>0.35</v>
      </c>
      <c r="BR11">
        <v>10.6085749194713</v>
      </c>
      <c r="BT11">
        <v>0</v>
      </c>
      <c r="BU11">
        <v>2</v>
      </c>
      <c r="BV11">
        <v>0.35</v>
      </c>
      <c r="BW11">
        <v>10.6085749194713</v>
      </c>
      <c r="BY11">
        <v>0</v>
      </c>
      <c r="BZ11">
        <v>1</v>
      </c>
      <c r="CA11">
        <v>0.35</v>
      </c>
      <c r="CB11">
        <v>10.6085749194713</v>
      </c>
      <c r="CD11">
        <v>0</v>
      </c>
      <c r="CE11">
        <v>0</v>
      </c>
      <c r="CF11">
        <v>0.35</v>
      </c>
      <c r="CG11">
        <v>10.6085749194713</v>
      </c>
    </row>
    <row r="12" spans="1:85" x14ac:dyDescent="0.25">
      <c r="A12" t="s">
        <v>0</v>
      </c>
      <c r="B12">
        <f>-C11/(2*B11)</f>
        <v>-0.23891640866873476</v>
      </c>
      <c r="E12" t="s">
        <v>0</v>
      </c>
      <c r="F12">
        <f>-G11/(2*F11)</f>
        <v>-6.5805019147722299E-2</v>
      </c>
      <c r="I12" t="s">
        <v>1</v>
      </c>
      <c r="J12">
        <f>-K11/(2*J11)</f>
        <v>-7.2257158148242587E-2</v>
      </c>
      <c r="M12" t="s">
        <v>1</v>
      </c>
      <c r="N12">
        <f>-O11/(2*N11)</f>
        <v>0.12818495991153037</v>
      </c>
      <c r="R12">
        <f>N12</f>
        <v>0.12818495991153037</v>
      </c>
      <c r="S12">
        <v>-18</v>
      </c>
      <c r="AA12">
        <v>0</v>
      </c>
      <c r="AB12">
        <v>11</v>
      </c>
      <c r="AC12">
        <v>0.35</v>
      </c>
      <c r="AD12">
        <v>10.513273353326699</v>
      </c>
      <c r="AF12">
        <v>0</v>
      </c>
      <c r="AG12">
        <v>10</v>
      </c>
      <c r="AH12">
        <v>0.35</v>
      </c>
      <c r="AI12">
        <v>10.6085749194713</v>
      </c>
      <c r="AK12">
        <v>0</v>
      </c>
      <c r="AL12">
        <v>9</v>
      </c>
      <c r="AM12">
        <v>0.35</v>
      </c>
      <c r="AN12">
        <v>10.579251360657601</v>
      </c>
      <c r="AP12">
        <v>0</v>
      </c>
      <c r="AQ12">
        <v>8</v>
      </c>
      <c r="AR12">
        <v>0.35</v>
      </c>
      <c r="AS12">
        <v>10.579251360657601</v>
      </c>
      <c r="AU12">
        <v>0</v>
      </c>
      <c r="AV12">
        <v>7</v>
      </c>
      <c r="AW12">
        <v>0.35</v>
      </c>
      <c r="AX12">
        <v>10.513273353326699</v>
      </c>
      <c r="AZ12">
        <v>0</v>
      </c>
      <c r="BA12">
        <v>6</v>
      </c>
      <c r="BB12">
        <v>0.35</v>
      </c>
      <c r="BC12">
        <v>10.579251360657601</v>
      </c>
      <c r="BE12">
        <v>0</v>
      </c>
      <c r="BF12">
        <v>5</v>
      </c>
      <c r="BG12">
        <v>0.35</v>
      </c>
      <c r="BH12">
        <v>10.645229367988399</v>
      </c>
      <c r="BJ12">
        <v>0</v>
      </c>
      <c r="BK12">
        <v>4</v>
      </c>
      <c r="BL12">
        <v>0.35</v>
      </c>
      <c r="BM12">
        <v>10.6085749194713</v>
      </c>
      <c r="BO12">
        <v>0</v>
      </c>
      <c r="BP12">
        <v>3</v>
      </c>
      <c r="BQ12">
        <v>0.7</v>
      </c>
      <c r="BR12">
        <v>10.5425969121404</v>
      </c>
      <c r="BT12">
        <v>0</v>
      </c>
      <c r="BU12">
        <v>2</v>
      </c>
      <c r="BV12">
        <v>0.7</v>
      </c>
      <c r="BW12">
        <v>10.579251360657601</v>
      </c>
      <c r="BY12">
        <v>0</v>
      </c>
      <c r="BZ12">
        <v>1</v>
      </c>
      <c r="CA12">
        <v>0.7</v>
      </c>
      <c r="CB12">
        <v>10.579251360657601</v>
      </c>
      <c r="CD12">
        <v>0</v>
      </c>
      <c r="CE12">
        <v>0</v>
      </c>
      <c r="CF12">
        <v>0.7</v>
      </c>
      <c r="CG12">
        <v>10.579251360657601</v>
      </c>
    </row>
    <row r="13" spans="1:85" x14ac:dyDescent="0.25">
      <c r="R13">
        <f>N25</f>
        <v>0.11764798248145462</v>
      </c>
      <c r="S13">
        <v>-9</v>
      </c>
      <c r="AA13">
        <v>0</v>
      </c>
      <c r="AB13">
        <v>11</v>
      </c>
      <c r="AC13">
        <v>0.7</v>
      </c>
      <c r="AD13">
        <v>10.410640897478601</v>
      </c>
      <c r="AF13">
        <v>0</v>
      </c>
      <c r="AG13">
        <v>10</v>
      </c>
      <c r="AH13">
        <v>0.7</v>
      </c>
      <c r="AI13">
        <v>10.4766189048095</v>
      </c>
      <c r="AK13">
        <v>0</v>
      </c>
      <c r="AL13">
        <v>9</v>
      </c>
      <c r="AM13">
        <v>0.7</v>
      </c>
      <c r="AN13">
        <v>10.513273353326699</v>
      </c>
      <c r="AP13">
        <v>0</v>
      </c>
      <c r="AQ13">
        <v>8</v>
      </c>
      <c r="AR13">
        <v>0.7</v>
      </c>
      <c r="AS13">
        <v>10.4766189048095</v>
      </c>
      <c r="AU13">
        <v>0</v>
      </c>
      <c r="AV13">
        <v>7</v>
      </c>
      <c r="AW13">
        <v>0.7</v>
      </c>
      <c r="AX13">
        <v>10.410640897478601</v>
      </c>
      <c r="AZ13">
        <v>0</v>
      </c>
      <c r="BA13">
        <v>6</v>
      </c>
      <c r="BB13">
        <v>0.7</v>
      </c>
      <c r="BC13">
        <v>10.4399644562923</v>
      </c>
      <c r="BE13">
        <v>0</v>
      </c>
      <c r="BF13">
        <v>5</v>
      </c>
      <c r="BG13">
        <v>0.7</v>
      </c>
      <c r="BH13">
        <v>10.5425969121404</v>
      </c>
      <c r="BJ13">
        <v>0</v>
      </c>
      <c r="BK13">
        <v>4</v>
      </c>
      <c r="BL13">
        <v>0.7</v>
      </c>
      <c r="BM13">
        <v>10.579251360657601</v>
      </c>
      <c r="BO13">
        <v>0</v>
      </c>
      <c r="BP13">
        <v>3</v>
      </c>
      <c r="BQ13">
        <v>1.05</v>
      </c>
      <c r="BR13">
        <v>10.344662890147699</v>
      </c>
      <c r="BT13">
        <v>0</v>
      </c>
      <c r="BU13">
        <v>2</v>
      </c>
      <c r="BV13">
        <v>1.05</v>
      </c>
      <c r="BW13">
        <v>10.373986448961499</v>
      </c>
      <c r="BY13">
        <v>0</v>
      </c>
      <c r="BZ13">
        <v>1</v>
      </c>
      <c r="CA13">
        <v>1.05</v>
      </c>
      <c r="CB13">
        <v>10.4399644562923</v>
      </c>
      <c r="CD13">
        <v>0</v>
      </c>
      <c r="CE13">
        <v>0</v>
      </c>
      <c r="CF13">
        <v>1.05</v>
      </c>
      <c r="CG13">
        <v>10.4399644562923</v>
      </c>
    </row>
    <row r="14" spans="1:85" x14ac:dyDescent="0.25">
      <c r="R14">
        <f>N38</f>
        <v>0.16929180401428937</v>
      </c>
      <c r="S14">
        <v>0</v>
      </c>
      <c r="AA14">
        <v>0</v>
      </c>
      <c r="AB14">
        <v>11</v>
      </c>
      <c r="AC14">
        <v>1.05</v>
      </c>
      <c r="AD14">
        <v>10.0734199711207</v>
      </c>
      <c r="AF14">
        <v>0</v>
      </c>
      <c r="AG14">
        <v>10</v>
      </c>
      <c r="AH14">
        <v>1.05</v>
      </c>
      <c r="AI14">
        <v>10.2420304342997</v>
      </c>
      <c r="AK14">
        <v>0</v>
      </c>
      <c r="AL14">
        <v>9</v>
      </c>
      <c r="AM14">
        <v>1.05</v>
      </c>
      <c r="AN14">
        <v>10.2420304342997</v>
      </c>
      <c r="AP14">
        <v>0</v>
      </c>
      <c r="AQ14">
        <v>8</v>
      </c>
      <c r="AR14">
        <v>1.05</v>
      </c>
      <c r="AS14">
        <v>10.271353993113401</v>
      </c>
      <c r="AU14">
        <v>0</v>
      </c>
      <c r="AV14">
        <v>7</v>
      </c>
      <c r="AW14">
        <v>1.05</v>
      </c>
      <c r="AX14">
        <v>10.205375985782499</v>
      </c>
      <c r="AZ14">
        <v>0</v>
      </c>
      <c r="BA14">
        <v>6</v>
      </c>
      <c r="BB14">
        <v>1.05</v>
      </c>
      <c r="BC14">
        <v>10.3080084416306</v>
      </c>
      <c r="BE14">
        <v>0</v>
      </c>
      <c r="BF14">
        <v>5</v>
      </c>
      <c r="BG14">
        <v>1.05</v>
      </c>
      <c r="BH14">
        <v>10.373986448961499</v>
      </c>
      <c r="BJ14">
        <v>0</v>
      </c>
      <c r="BK14">
        <v>4</v>
      </c>
      <c r="BL14">
        <v>1.05</v>
      </c>
      <c r="BM14">
        <v>10.410640897478601</v>
      </c>
      <c r="BO14">
        <v>0</v>
      </c>
      <c r="BP14">
        <v>3</v>
      </c>
      <c r="BQ14">
        <v>1.4</v>
      </c>
      <c r="BR14">
        <v>9.7728534932800208</v>
      </c>
      <c r="BT14">
        <v>0</v>
      </c>
      <c r="BU14">
        <v>2</v>
      </c>
      <c r="BV14">
        <v>1.4</v>
      </c>
      <c r="BW14">
        <v>9.9707875152726899</v>
      </c>
      <c r="BY14">
        <v>0</v>
      </c>
      <c r="BZ14">
        <v>1</v>
      </c>
      <c r="CA14">
        <v>1.4</v>
      </c>
      <c r="CB14">
        <v>10.1760524269688</v>
      </c>
      <c r="CD14">
        <v>0</v>
      </c>
      <c r="CE14">
        <v>0</v>
      </c>
      <c r="CF14">
        <v>1.4</v>
      </c>
      <c r="CG14">
        <v>10.205375985782499</v>
      </c>
    </row>
    <row r="15" spans="1:85" x14ac:dyDescent="0.25">
      <c r="AA15">
        <v>0</v>
      </c>
      <c r="AB15">
        <v>11</v>
      </c>
      <c r="AC15">
        <v>1.4</v>
      </c>
      <c r="AD15">
        <v>8.6585582583583296</v>
      </c>
      <c r="AF15">
        <v>0</v>
      </c>
      <c r="AG15">
        <v>10</v>
      </c>
      <c r="AH15">
        <v>1.4</v>
      </c>
      <c r="AI15">
        <v>9.3989781184049797</v>
      </c>
      <c r="AK15">
        <v>0</v>
      </c>
      <c r="AL15">
        <v>9</v>
      </c>
      <c r="AM15">
        <v>1.4</v>
      </c>
      <c r="AN15">
        <v>9.5309341330667507</v>
      </c>
      <c r="AP15">
        <v>0</v>
      </c>
      <c r="AQ15">
        <v>8</v>
      </c>
      <c r="AR15">
        <v>1.4</v>
      </c>
      <c r="AS15">
        <v>9.6702210374319701</v>
      </c>
      <c r="AU15">
        <v>0</v>
      </c>
      <c r="AV15">
        <v>7</v>
      </c>
      <c r="AW15">
        <v>1.4</v>
      </c>
      <c r="AX15">
        <v>9.2670221037431997</v>
      </c>
      <c r="AZ15">
        <v>0</v>
      </c>
      <c r="BA15">
        <v>6</v>
      </c>
      <c r="BB15">
        <v>1.4</v>
      </c>
      <c r="BC15">
        <v>9.3623236698878092</v>
      </c>
      <c r="BE15">
        <v>0</v>
      </c>
      <c r="BF15">
        <v>5</v>
      </c>
      <c r="BG15">
        <v>1.4</v>
      </c>
      <c r="BH15">
        <v>9.6042430301010793</v>
      </c>
      <c r="BJ15">
        <v>0</v>
      </c>
      <c r="BK15">
        <v>4</v>
      </c>
      <c r="BL15">
        <v>1.4</v>
      </c>
      <c r="BM15">
        <v>9.7361990447628592</v>
      </c>
      <c r="BO15">
        <v>0</v>
      </c>
      <c r="BP15">
        <v>3</v>
      </c>
      <c r="BQ15">
        <v>1.75</v>
      </c>
      <c r="BR15">
        <v>8.3213373320004393</v>
      </c>
      <c r="BT15">
        <v>0</v>
      </c>
      <c r="BU15">
        <v>2</v>
      </c>
      <c r="BV15">
        <v>1.75</v>
      </c>
      <c r="BW15">
        <v>8.3873153393313302</v>
      </c>
      <c r="BY15">
        <v>0</v>
      </c>
      <c r="BZ15">
        <v>1</v>
      </c>
      <c r="CA15">
        <v>1.75</v>
      </c>
      <c r="CB15">
        <v>8.7611907142063803</v>
      </c>
      <c r="CD15">
        <v>0</v>
      </c>
      <c r="CE15">
        <v>0</v>
      </c>
      <c r="CF15">
        <v>1.75</v>
      </c>
      <c r="CG15">
        <v>8.8564922803510004</v>
      </c>
    </row>
    <row r="16" spans="1:85" x14ac:dyDescent="0.25">
      <c r="AF16">
        <v>0</v>
      </c>
      <c r="AG16">
        <v>10</v>
      </c>
      <c r="AH16">
        <v>1.75</v>
      </c>
      <c r="AI16">
        <v>7.3756525602576897</v>
      </c>
      <c r="AK16">
        <v>0</v>
      </c>
      <c r="AL16">
        <v>9</v>
      </c>
      <c r="AM16">
        <v>1.75</v>
      </c>
      <c r="AN16">
        <v>7.4123070087748504</v>
      </c>
      <c r="AP16">
        <v>0</v>
      </c>
      <c r="AQ16">
        <v>8</v>
      </c>
      <c r="AR16">
        <v>1.75</v>
      </c>
      <c r="AS16">
        <v>7.81550594246362</v>
      </c>
      <c r="AU16">
        <v>0</v>
      </c>
      <c r="AV16">
        <v>7</v>
      </c>
      <c r="AW16">
        <v>1.75</v>
      </c>
      <c r="AX16">
        <v>7.5442630234366304</v>
      </c>
      <c r="AZ16">
        <v>0</v>
      </c>
      <c r="BA16">
        <v>6</v>
      </c>
      <c r="BB16">
        <v>1.75</v>
      </c>
      <c r="BC16">
        <v>7.6468954792846802</v>
      </c>
      <c r="BE16">
        <v>0</v>
      </c>
      <c r="BF16">
        <v>5</v>
      </c>
      <c r="BG16">
        <v>1.75</v>
      </c>
      <c r="BH16">
        <v>7.81550594246362</v>
      </c>
      <c r="BJ16">
        <v>0</v>
      </c>
      <c r="BK16">
        <v>4</v>
      </c>
      <c r="BL16">
        <v>1.75</v>
      </c>
      <c r="BM16">
        <v>7.9841164056425598</v>
      </c>
      <c r="BY16">
        <v>0</v>
      </c>
      <c r="BZ16">
        <v>1</v>
      </c>
      <c r="CA16">
        <v>2.1</v>
      </c>
      <c r="CB16">
        <v>6.8038431633899803</v>
      </c>
      <c r="CD16">
        <v>0</v>
      </c>
      <c r="CE16">
        <v>0</v>
      </c>
      <c r="CF16">
        <v>2.1</v>
      </c>
      <c r="CG16">
        <v>7.1410640897478599</v>
      </c>
    </row>
    <row r="17" spans="1:23" x14ac:dyDescent="0.25">
      <c r="R17" t="s">
        <v>4</v>
      </c>
      <c r="S17">
        <f>SLOPE(R3:R14,S3:S14)</f>
        <v>3.7987891512872604E-3</v>
      </c>
      <c r="U17" t="s">
        <v>16</v>
      </c>
      <c r="V17">
        <f>(180 * ATAN(S17) / PI())</f>
        <v>0.21765353866138243</v>
      </c>
      <c r="W17" t="s">
        <v>6</v>
      </c>
    </row>
    <row r="18" spans="1:23" x14ac:dyDescent="0.25">
      <c r="R18" t="s">
        <v>5</v>
      </c>
      <c r="S18">
        <f>INTERCEPT(R3:R14,S3:S14)</f>
        <v>0.15631296672249539</v>
      </c>
    </row>
    <row r="24" spans="1:23" x14ac:dyDescent="0.25">
      <c r="B24">
        <f>INDEX(LINEST([0]!y_s1_c11,[0]!x_s1_c11^{1,2}),1)</f>
        <v>-0.76809262726882555</v>
      </c>
      <c r="C24">
        <f>INDEX(LINEST([0]!y_s1_c11,[0]!x_s1_c11^{1,2}),1,2)</f>
        <v>-0.25074321118496895</v>
      </c>
      <c r="F24">
        <f>INDEX(LINEST([0]!y_s1_c8,[0]!x_s1_c8^{1,2}),1)</f>
        <v>-0.79696840232444321</v>
      </c>
      <c r="G24">
        <f>INDEX(LINEST([0]!y_s1_c8,[0]!x_s1_c8^{1,2}),1,2)</f>
        <v>-0.13810676399337668</v>
      </c>
      <c r="J24">
        <f>INDEX(LINEST([0]!y_s1_c5,[0]!x_s1_c5^{1,2}),1)</f>
        <v>-0.80607054880937423</v>
      </c>
      <c r="K24">
        <f>INDEX(LINEST([0]!y_s1_c5,[0]!x_s1_c5^{1,2}),1,2)</f>
        <v>1.521209309089111E-2</v>
      </c>
      <c r="N24">
        <f>INDEX(LINEST([0]!y_s1_c2,[0]!x_s1_c2^{1,2}),1)</f>
        <v>-0.88045705628959814</v>
      </c>
      <c r="O24">
        <f>INDEX(LINEST([0]!y_s1_c2,[0]!x_s1_c2^{1,2}),1,2)</f>
        <v>0.20716799266806349</v>
      </c>
    </row>
    <row r="25" spans="1:23" x14ac:dyDescent="0.25">
      <c r="A25" t="s">
        <v>0</v>
      </c>
      <c r="B25">
        <f>-C24/(2*B24)</f>
        <v>-0.16322459185460392</v>
      </c>
      <c r="E25" t="s">
        <v>0</v>
      </c>
      <c r="F25">
        <f>-G24/(2*F24)</f>
        <v>-8.6645068732068675E-2</v>
      </c>
      <c r="I25" t="s">
        <v>0</v>
      </c>
      <c r="J25">
        <f>-K24/(2*J24)</f>
        <v>9.4359563895247724E-3</v>
      </c>
      <c r="M25" t="s">
        <v>0</v>
      </c>
      <c r="N25">
        <f>-O24/(2*N24)</f>
        <v>0.11764798248145462</v>
      </c>
    </row>
    <row r="37" spans="1:15" x14ac:dyDescent="0.25">
      <c r="B37">
        <f>INDEX(LINEST([0]!y_s1_c10,[0]!x_s1_c10^{1,2}),1)</f>
        <v>-0.76540233766737187</v>
      </c>
      <c r="C37">
        <f>INDEX(LINEST([0]!y_s1_c10,[0]!x_s1_c10^{1,2}),1,2)</f>
        <v>-0.21113318061954089</v>
      </c>
      <c r="F37">
        <f>INDEX(LINEST([0]!y_s1_c7,[0]!x_s1_c7^{1,2}),1)</f>
        <v>-0.78477242279784887</v>
      </c>
      <c r="G37">
        <f>INDEX(LINEST([0]!y_s1_c7,[0]!x_s1_c7^{1,2}),1,2)</f>
        <v>-0.14511646301050252</v>
      </c>
      <c r="J37">
        <f>INDEX(LINEST([0]!y_s1_c4,[0]!x_s1_c4^{1,2}),1)</f>
        <v>-0.71666325772100659</v>
      </c>
      <c r="K37">
        <f>INDEX(LINEST([0]!y_s1_c4,[0]!x_s1_c4^{1,2}),1,2)</f>
        <v>7.4451373351733963E-2</v>
      </c>
      <c r="N37">
        <f>INDEX(LINEST([0]!y_s1_c1,[0]!x_s1_c1^{1,2}),1)</f>
        <v>-0.86601916876179308</v>
      </c>
      <c r="O37">
        <f>INDEX(LINEST([0]!y_s1_c1,[0]!x_s1_c1^{1,2}),1,2)</f>
        <v>0.29321989478127852</v>
      </c>
    </row>
    <row r="38" spans="1:15" x14ac:dyDescent="0.25">
      <c r="A38" t="s">
        <v>1</v>
      </c>
      <c r="B38">
        <f>-C37/(2*B37)</f>
        <v>-0.13792300482318035</v>
      </c>
      <c r="E38" t="s">
        <v>1</v>
      </c>
      <c r="F38">
        <f>-G37/(2*F37)</f>
        <v>-9.2457672310360575E-2</v>
      </c>
      <c r="I38" t="s">
        <v>0</v>
      </c>
      <c r="J38">
        <f>-K37/(2*J37)</f>
        <v>5.194306569342607E-2</v>
      </c>
      <c r="M38" t="s">
        <v>0</v>
      </c>
      <c r="N38">
        <f>-O37/(2*N37)</f>
        <v>0.16929180401428937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"/>
  <sheetViews>
    <sheetView workbookViewId="0"/>
  </sheetViews>
  <sheetFormatPr defaultRowHeight="15" x14ac:dyDescent="0.25"/>
  <sheetData>
    <row r="1" spans="1:85" x14ac:dyDescent="0.25">
      <c r="AA1" t="s">
        <v>11</v>
      </c>
      <c r="AB1" t="s">
        <v>9</v>
      </c>
      <c r="AC1" t="s">
        <v>10</v>
      </c>
      <c r="AF1" t="s">
        <v>11</v>
      </c>
      <c r="AG1" t="s">
        <v>9</v>
      </c>
      <c r="AH1" t="s">
        <v>10</v>
      </c>
      <c r="AK1" t="s">
        <v>11</v>
      </c>
      <c r="AL1" t="s">
        <v>9</v>
      </c>
      <c r="AM1" t="s">
        <v>10</v>
      </c>
      <c r="AP1" t="s">
        <v>11</v>
      </c>
      <c r="AQ1" t="s">
        <v>9</v>
      </c>
      <c r="AR1" t="s">
        <v>10</v>
      </c>
      <c r="AU1" t="s">
        <v>11</v>
      </c>
      <c r="AV1" t="s">
        <v>9</v>
      </c>
      <c r="AW1" t="s">
        <v>10</v>
      </c>
      <c r="AZ1" t="s">
        <v>11</v>
      </c>
      <c r="BA1" t="s">
        <v>9</v>
      </c>
      <c r="BB1" t="s">
        <v>10</v>
      </c>
      <c r="BE1" t="s">
        <v>11</v>
      </c>
      <c r="BF1" t="s">
        <v>9</v>
      </c>
      <c r="BG1" t="s">
        <v>10</v>
      </c>
      <c r="BJ1" t="s">
        <v>11</v>
      </c>
      <c r="BK1" t="s">
        <v>9</v>
      </c>
      <c r="BL1" t="s">
        <v>10</v>
      </c>
      <c r="BO1" t="s">
        <v>11</v>
      </c>
      <c r="BP1" t="s">
        <v>9</v>
      </c>
      <c r="BQ1" t="s">
        <v>10</v>
      </c>
      <c r="BT1" t="s">
        <v>11</v>
      </c>
      <c r="BU1" t="s">
        <v>9</v>
      </c>
      <c r="BV1" t="s">
        <v>10</v>
      </c>
      <c r="BY1" t="s">
        <v>11</v>
      </c>
      <c r="BZ1" t="s">
        <v>9</v>
      </c>
      <c r="CA1" t="s">
        <v>10</v>
      </c>
      <c r="CD1" t="s">
        <v>11</v>
      </c>
      <c r="CE1" t="s">
        <v>9</v>
      </c>
      <c r="CF1" t="s">
        <v>10</v>
      </c>
    </row>
    <row r="2" spans="1:85" x14ac:dyDescent="0.25">
      <c r="R2" t="s">
        <v>2</v>
      </c>
      <c r="S2" t="s">
        <v>3</v>
      </c>
      <c r="AA2" t="s">
        <v>12</v>
      </c>
      <c r="AB2">
        <v>1</v>
      </c>
      <c r="AC2">
        <v>11</v>
      </c>
      <c r="AF2" t="s">
        <v>12</v>
      </c>
      <c r="AG2">
        <v>1</v>
      </c>
      <c r="AH2">
        <v>10</v>
      </c>
      <c r="AK2" t="s">
        <v>12</v>
      </c>
      <c r="AL2">
        <v>1</v>
      </c>
      <c r="AM2">
        <v>9</v>
      </c>
      <c r="AP2" t="s">
        <v>12</v>
      </c>
      <c r="AQ2">
        <v>1</v>
      </c>
      <c r="AR2">
        <v>8</v>
      </c>
      <c r="AU2" t="s">
        <v>12</v>
      </c>
      <c r="AV2">
        <v>1</v>
      </c>
      <c r="AW2">
        <v>7</v>
      </c>
      <c r="AZ2" t="s">
        <v>12</v>
      </c>
      <c r="BA2">
        <v>1</v>
      </c>
      <c r="BB2">
        <v>6</v>
      </c>
      <c r="BE2" t="s">
        <v>12</v>
      </c>
      <c r="BF2">
        <v>1</v>
      </c>
      <c r="BG2">
        <v>5</v>
      </c>
      <c r="BJ2" t="s">
        <v>12</v>
      </c>
      <c r="BK2">
        <v>1</v>
      </c>
      <c r="BL2">
        <v>4</v>
      </c>
      <c r="BO2" t="s">
        <v>12</v>
      </c>
      <c r="BP2">
        <v>1</v>
      </c>
      <c r="BQ2">
        <v>3</v>
      </c>
      <c r="BT2" t="s">
        <v>12</v>
      </c>
      <c r="BU2">
        <v>1</v>
      </c>
      <c r="BV2">
        <v>2</v>
      </c>
      <c r="BY2" t="s">
        <v>12</v>
      </c>
      <c r="BZ2">
        <v>1</v>
      </c>
      <c r="CA2">
        <v>1</v>
      </c>
      <c r="CD2" t="s">
        <v>12</v>
      </c>
      <c r="CE2">
        <v>1</v>
      </c>
      <c r="CF2">
        <v>0</v>
      </c>
    </row>
    <row r="3" spans="1:85" x14ac:dyDescent="0.25">
      <c r="R3">
        <f>B12</f>
        <v>8.5292504981497306</v>
      </c>
      <c r="S3">
        <v>-99</v>
      </c>
    </row>
    <row r="4" spans="1:85" x14ac:dyDescent="0.25">
      <c r="R4">
        <f>B25</f>
        <v>8.7236567164179153</v>
      </c>
      <c r="S4">
        <v>-90</v>
      </c>
      <c r="AA4" t="s">
        <v>9</v>
      </c>
      <c r="AB4" t="s">
        <v>10</v>
      </c>
      <c r="AC4" t="s">
        <v>2</v>
      </c>
      <c r="AD4" t="s">
        <v>11</v>
      </c>
      <c r="AF4" t="s">
        <v>9</v>
      </c>
      <c r="AG4" t="s">
        <v>10</v>
      </c>
      <c r="AH4" t="s">
        <v>2</v>
      </c>
      <c r="AI4" t="s">
        <v>11</v>
      </c>
      <c r="AK4" t="s">
        <v>9</v>
      </c>
      <c r="AL4" t="s">
        <v>10</v>
      </c>
      <c r="AM4" t="s">
        <v>2</v>
      </c>
      <c r="AN4" t="s">
        <v>11</v>
      </c>
      <c r="AP4" t="s">
        <v>9</v>
      </c>
      <c r="AQ4" t="s">
        <v>10</v>
      </c>
      <c r="AR4" t="s">
        <v>2</v>
      </c>
      <c r="AS4" t="s">
        <v>11</v>
      </c>
      <c r="AU4" t="s">
        <v>9</v>
      </c>
      <c r="AV4" t="s">
        <v>10</v>
      </c>
      <c r="AW4" t="s">
        <v>2</v>
      </c>
      <c r="AX4" t="s">
        <v>11</v>
      </c>
      <c r="AZ4" t="s">
        <v>9</v>
      </c>
      <c r="BA4" t="s">
        <v>10</v>
      </c>
      <c r="BB4" t="s">
        <v>2</v>
      </c>
      <c r="BC4" t="s">
        <v>11</v>
      </c>
      <c r="BE4" t="s">
        <v>9</v>
      </c>
      <c r="BF4" t="s">
        <v>10</v>
      </c>
      <c r="BG4" t="s">
        <v>2</v>
      </c>
      <c r="BH4" t="s">
        <v>11</v>
      </c>
      <c r="BJ4" t="s">
        <v>9</v>
      </c>
      <c r="BK4" t="s">
        <v>10</v>
      </c>
      <c r="BL4" t="s">
        <v>2</v>
      </c>
      <c r="BM4" t="s">
        <v>11</v>
      </c>
      <c r="BO4" t="s">
        <v>9</v>
      </c>
      <c r="BP4" t="s">
        <v>10</v>
      </c>
      <c r="BQ4" t="s">
        <v>2</v>
      </c>
      <c r="BR4" t="s">
        <v>11</v>
      </c>
      <c r="BT4" t="s">
        <v>9</v>
      </c>
      <c r="BU4" t="s">
        <v>10</v>
      </c>
      <c r="BV4" t="s">
        <v>2</v>
      </c>
      <c r="BW4" t="s">
        <v>11</v>
      </c>
      <c r="BY4" t="s">
        <v>9</v>
      </c>
      <c r="BZ4" t="s">
        <v>10</v>
      </c>
      <c r="CA4" t="s">
        <v>2</v>
      </c>
      <c r="CB4" t="s">
        <v>11</v>
      </c>
      <c r="CD4" t="s">
        <v>9</v>
      </c>
      <c r="CE4" t="s">
        <v>10</v>
      </c>
      <c r="CF4" t="s">
        <v>2</v>
      </c>
      <c r="CG4" t="s">
        <v>11</v>
      </c>
    </row>
    <row r="5" spans="1:85" x14ac:dyDescent="0.25">
      <c r="R5">
        <f>B38</f>
        <v>8.7942595510043375</v>
      </c>
      <c r="S5">
        <v>-81</v>
      </c>
      <c r="AA5">
        <v>1</v>
      </c>
      <c r="AB5">
        <v>11</v>
      </c>
      <c r="AC5">
        <v>7.25</v>
      </c>
      <c r="AD5">
        <v>8.6706720071206007</v>
      </c>
      <c r="AF5">
        <v>1</v>
      </c>
      <c r="AG5">
        <v>10</v>
      </c>
      <c r="AH5">
        <v>7.6</v>
      </c>
      <c r="AI5">
        <v>9.1993769470405002</v>
      </c>
      <c r="AK5">
        <v>1</v>
      </c>
      <c r="AL5">
        <v>9</v>
      </c>
      <c r="AM5">
        <v>7.6</v>
      </c>
      <c r="AN5">
        <v>9.0011125945705395</v>
      </c>
      <c r="AP5">
        <v>1</v>
      </c>
      <c r="AQ5">
        <v>8</v>
      </c>
      <c r="AR5">
        <v>7.6</v>
      </c>
      <c r="AS5">
        <v>8.9350244770805496</v>
      </c>
      <c r="AU5">
        <v>1</v>
      </c>
      <c r="AV5">
        <v>7</v>
      </c>
      <c r="AW5">
        <v>7.95</v>
      </c>
      <c r="AX5">
        <v>9.5371606586559796</v>
      </c>
      <c r="AZ5">
        <v>1</v>
      </c>
      <c r="BA5">
        <v>6</v>
      </c>
      <c r="BB5">
        <v>7.95</v>
      </c>
      <c r="BC5">
        <v>9.6693368936359594</v>
      </c>
      <c r="BE5">
        <v>1</v>
      </c>
      <c r="BF5">
        <v>5</v>
      </c>
      <c r="BG5">
        <v>7.95</v>
      </c>
      <c r="BH5">
        <v>9.8015131286159303</v>
      </c>
      <c r="BJ5">
        <v>1</v>
      </c>
      <c r="BK5">
        <v>4</v>
      </c>
      <c r="BL5">
        <v>7.95</v>
      </c>
      <c r="BM5">
        <v>9.6032487761459695</v>
      </c>
      <c r="BO5">
        <v>1</v>
      </c>
      <c r="BP5">
        <v>3</v>
      </c>
      <c r="BQ5">
        <v>7.95</v>
      </c>
      <c r="BR5">
        <v>9.3388963061860295</v>
      </c>
      <c r="BT5">
        <v>1</v>
      </c>
      <c r="BU5">
        <v>2</v>
      </c>
      <c r="BV5">
        <v>7.95</v>
      </c>
      <c r="BW5">
        <v>9.2360925678682708</v>
      </c>
      <c r="BY5">
        <v>1</v>
      </c>
      <c r="BZ5">
        <v>1</v>
      </c>
      <c r="CA5">
        <v>7.95</v>
      </c>
      <c r="CB5">
        <v>9.1039163328882999</v>
      </c>
      <c r="CD5">
        <v>1</v>
      </c>
      <c r="CE5">
        <v>0</v>
      </c>
      <c r="CF5">
        <v>7.95</v>
      </c>
      <c r="CG5">
        <v>9.0011125945705395</v>
      </c>
    </row>
    <row r="6" spans="1:85" x14ac:dyDescent="0.25">
      <c r="R6">
        <f>F12</f>
        <v>8.8336661341853073</v>
      </c>
      <c r="S6">
        <v>-72</v>
      </c>
      <c r="AA6">
        <v>1</v>
      </c>
      <c r="AB6">
        <v>11</v>
      </c>
      <c r="AC6">
        <v>7.6</v>
      </c>
      <c r="AD6">
        <v>9.5004450378282108</v>
      </c>
      <c r="AF6">
        <v>1</v>
      </c>
      <c r="AG6">
        <v>10</v>
      </c>
      <c r="AH6">
        <v>7.95</v>
      </c>
      <c r="AI6">
        <v>9.8382287494437008</v>
      </c>
      <c r="AK6">
        <v>1</v>
      </c>
      <c r="AL6">
        <v>9</v>
      </c>
      <c r="AM6">
        <v>7.95</v>
      </c>
      <c r="AN6">
        <v>9.7721406319537198</v>
      </c>
      <c r="AP6">
        <v>1</v>
      </c>
      <c r="AQ6">
        <v>8</v>
      </c>
      <c r="AR6">
        <v>7.95</v>
      </c>
      <c r="AS6">
        <v>9.6693368936359594</v>
      </c>
      <c r="AU6">
        <v>1</v>
      </c>
      <c r="AV6">
        <v>7</v>
      </c>
      <c r="AW6">
        <v>8.3000000000000007</v>
      </c>
      <c r="AX6">
        <v>9.9997774810858893</v>
      </c>
      <c r="AZ6">
        <v>1</v>
      </c>
      <c r="BA6">
        <v>6</v>
      </c>
      <c r="BB6">
        <v>8.3000000000000007</v>
      </c>
      <c r="BC6">
        <v>10.1025812194036</v>
      </c>
      <c r="BE6">
        <v>1</v>
      </c>
      <c r="BF6">
        <v>5</v>
      </c>
      <c r="BG6">
        <v>8.3000000000000007</v>
      </c>
      <c r="BH6">
        <v>10.2053849577214</v>
      </c>
      <c r="BJ6">
        <v>1</v>
      </c>
      <c r="BK6">
        <v>4</v>
      </c>
      <c r="BL6">
        <v>8.3000000000000007</v>
      </c>
      <c r="BM6">
        <v>10.036493101913701</v>
      </c>
      <c r="BO6">
        <v>1</v>
      </c>
      <c r="BP6">
        <v>3</v>
      </c>
      <c r="BQ6">
        <v>8.3000000000000007</v>
      </c>
      <c r="BR6">
        <v>9.9043168669336907</v>
      </c>
      <c r="BT6">
        <v>1</v>
      </c>
      <c r="BU6">
        <v>2</v>
      </c>
      <c r="BV6">
        <v>8.3000000000000007</v>
      </c>
      <c r="BW6">
        <v>9.8676012461059202</v>
      </c>
      <c r="BY6">
        <v>1</v>
      </c>
      <c r="BZ6">
        <v>1</v>
      </c>
      <c r="CA6">
        <v>8.3000000000000007</v>
      </c>
      <c r="CB6">
        <v>9.8015131286159303</v>
      </c>
      <c r="CD6">
        <v>1</v>
      </c>
      <c r="CE6">
        <v>0</v>
      </c>
      <c r="CF6">
        <v>8.3000000000000007</v>
      </c>
      <c r="CG6">
        <v>9.7354250111259493</v>
      </c>
    </row>
    <row r="7" spans="1:85" x14ac:dyDescent="0.25">
      <c r="R7">
        <f>F25</f>
        <v>8.7997159090909065</v>
      </c>
      <c r="S7">
        <v>-63</v>
      </c>
      <c r="AA7">
        <v>1</v>
      </c>
      <c r="AB7">
        <v>11</v>
      </c>
      <c r="AC7">
        <v>7.95</v>
      </c>
      <c r="AD7">
        <v>9.9997774810858893</v>
      </c>
      <c r="AF7">
        <v>1</v>
      </c>
      <c r="AG7">
        <v>10</v>
      </c>
      <c r="AH7">
        <v>8.3000000000000007</v>
      </c>
      <c r="AI7">
        <v>10.2053849577214</v>
      </c>
      <c r="AK7">
        <v>1</v>
      </c>
      <c r="AL7">
        <v>9</v>
      </c>
      <c r="AM7">
        <v>8.3000000000000007</v>
      </c>
      <c r="AN7">
        <v>10.139296840231401</v>
      </c>
      <c r="AP7">
        <v>1</v>
      </c>
      <c r="AQ7">
        <v>8</v>
      </c>
      <c r="AR7">
        <v>8.3000000000000007</v>
      </c>
      <c r="AS7">
        <v>10.0658655985759</v>
      </c>
      <c r="AU7">
        <v>1</v>
      </c>
      <c r="AV7">
        <v>7</v>
      </c>
      <c r="AW7">
        <v>8.65</v>
      </c>
      <c r="AX7">
        <v>10.2053849577214</v>
      </c>
      <c r="AZ7">
        <v>1</v>
      </c>
      <c r="BA7">
        <v>6</v>
      </c>
      <c r="BB7">
        <v>8.65</v>
      </c>
      <c r="BC7">
        <v>10.337561192701401</v>
      </c>
      <c r="BE7">
        <v>1</v>
      </c>
      <c r="BF7">
        <v>5</v>
      </c>
      <c r="BG7">
        <v>8.65</v>
      </c>
      <c r="BH7">
        <v>10.3669336893636</v>
      </c>
      <c r="BJ7">
        <v>1</v>
      </c>
      <c r="BK7">
        <v>4</v>
      </c>
      <c r="BL7">
        <v>8.65</v>
      </c>
      <c r="BM7">
        <v>10.3008455718736</v>
      </c>
      <c r="BO7">
        <v>1</v>
      </c>
      <c r="BP7">
        <v>3</v>
      </c>
      <c r="BQ7">
        <v>8.65</v>
      </c>
      <c r="BR7">
        <v>10.168669336893601</v>
      </c>
      <c r="BT7">
        <v>1</v>
      </c>
      <c r="BU7">
        <v>2</v>
      </c>
      <c r="BV7">
        <v>8.65</v>
      </c>
      <c r="BW7">
        <v>10.2053849577214</v>
      </c>
      <c r="BY7">
        <v>1</v>
      </c>
      <c r="BZ7">
        <v>1</v>
      </c>
      <c r="CA7">
        <v>8.65</v>
      </c>
      <c r="CB7">
        <v>10.139296840231401</v>
      </c>
      <c r="CD7">
        <v>1</v>
      </c>
      <c r="CE7">
        <v>0</v>
      </c>
      <c r="CF7">
        <v>8.65</v>
      </c>
      <c r="CG7">
        <v>10.1025812194036</v>
      </c>
    </row>
    <row r="8" spans="1:85" x14ac:dyDescent="0.25">
      <c r="R8">
        <f>F38</f>
        <v>8.8212962962963033</v>
      </c>
      <c r="S8">
        <v>-54</v>
      </c>
      <c r="AA8">
        <v>1</v>
      </c>
      <c r="AB8">
        <v>11</v>
      </c>
      <c r="AC8">
        <v>8.3000000000000007</v>
      </c>
      <c r="AD8">
        <v>10.2714730752114</v>
      </c>
      <c r="AF8">
        <v>1</v>
      </c>
      <c r="AG8">
        <v>10</v>
      </c>
      <c r="AH8">
        <v>8.65</v>
      </c>
      <c r="AI8">
        <v>10.2714730752114</v>
      </c>
      <c r="AK8">
        <v>1</v>
      </c>
      <c r="AL8">
        <v>9</v>
      </c>
      <c r="AM8">
        <v>8.65</v>
      </c>
      <c r="AN8">
        <v>10.234757454383599</v>
      </c>
      <c r="AP8">
        <v>1</v>
      </c>
      <c r="AQ8">
        <v>8</v>
      </c>
      <c r="AR8">
        <v>8.65</v>
      </c>
      <c r="AS8">
        <v>10.234757454383599</v>
      </c>
      <c r="AU8">
        <v>1</v>
      </c>
      <c r="AV8">
        <v>7</v>
      </c>
      <c r="AW8">
        <v>9</v>
      </c>
      <c r="AX8">
        <v>10.168669336893601</v>
      </c>
      <c r="AZ8">
        <v>1</v>
      </c>
      <c r="BA8">
        <v>6</v>
      </c>
      <c r="BB8">
        <v>9</v>
      </c>
      <c r="BC8">
        <v>10.2714730752114</v>
      </c>
      <c r="BE8">
        <v>1</v>
      </c>
      <c r="BF8">
        <v>5</v>
      </c>
      <c r="BG8">
        <v>9</v>
      </c>
      <c r="BH8">
        <v>10.337561192701401</v>
      </c>
      <c r="BJ8">
        <v>1</v>
      </c>
      <c r="BK8">
        <v>4</v>
      </c>
      <c r="BL8">
        <v>9</v>
      </c>
      <c r="BM8">
        <v>10.2714730752114</v>
      </c>
      <c r="BO8">
        <v>1</v>
      </c>
      <c r="BP8">
        <v>3</v>
      </c>
      <c r="BQ8">
        <v>9</v>
      </c>
      <c r="BR8">
        <v>10.2053849577214</v>
      </c>
      <c r="BT8">
        <v>1</v>
      </c>
      <c r="BU8">
        <v>2</v>
      </c>
      <c r="BV8">
        <v>9</v>
      </c>
      <c r="BW8">
        <v>10.234757454383599</v>
      </c>
      <c r="BY8">
        <v>1</v>
      </c>
      <c r="BZ8">
        <v>1</v>
      </c>
      <c r="CA8">
        <v>9</v>
      </c>
      <c r="CB8">
        <v>10.2714730752114</v>
      </c>
      <c r="CD8">
        <v>1</v>
      </c>
      <c r="CE8">
        <v>0</v>
      </c>
      <c r="CF8">
        <v>9</v>
      </c>
      <c r="CG8">
        <v>10.2714730752114</v>
      </c>
    </row>
    <row r="9" spans="1:85" x14ac:dyDescent="0.25">
      <c r="R9">
        <f>J12</f>
        <v>8.830815160955348</v>
      </c>
      <c r="S9">
        <v>-45</v>
      </c>
      <c r="AA9">
        <v>1</v>
      </c>
      <c r="AB9">
        <v>11</v>
      </c>
      <c r="AC9">
        <v>8.65</v>
      </c>
      <c r="AD9">
        <v>10.3008455718736</v>
      </c>
      <c r="AF9">
        <v>1</v>
      </c>
      <c r="AG9">
        <v>10</v>
      </c>
      <c r="AH9">
        <v>9</v>
      </c>
      <c r="AI9">
        <v>10.2053849577214</v>
      </c>
      <c r="AK9">
        <v>1</v>
      </c>
      <c r="AL9">
        <v>9</v>
      </c>
      <c r="AM9">
        <v>9</v>
      </c>
      <c r="AN9">
        <v>10.2053849577214</v>
      </c>
      <c r="AP9">
        <v>1</v>
      </c>
      <c r="AQ9">
        <v>8</v>
      </c>
      <c r="AR9">
        <v>9</v>
      </c>
      <c r="AS9">
        <v>10.234757454383599</v>
      </c>
      <c r="AU9">
        <v>1</v>
      </c>
      <c r="AV9">
        <v>7</v>
      </c>
      <c r="AW9">
        <v>9.35</v>
      </c>
      <c r="AX9">
        <v>9.8676012461059202</v>
      </c>
      <c r="AZ9">
        <v>1</v>
      </c>
      <c r="BA9">
        <v>6</v>
      </c>
      <c r="BB9">
        <v>9.35</v>
      </c>
      <c r="BC9">
        <v>9.9704049844236806</v>
      </c>
      <c r="BE9">
        <v>1</v>
      </c>
      <c r="BF9">
        <v>5</v>
      </c>
      <c r="BG9">
        <v>9.35</v>
      </c>
      <c r="BH9">
        <v>10.1025812194036</v>
      </c>
      <c r="BJ9">
        <v>1</v>
      </c>
      <c r="BK9">
        <v>4</v>
      </c>
      <c r="BL9">
        <v>9.35</v>
      </c>
      <c r="BM9">
        <v>10.036493101913701</v>
      </c>
      <c r="BO9">
        <v>1</v>
      </c>
      <c r="BP9">
        <v>3</v>
      </c>
      <c r="BQ9">
        <v>9.35</v>
      </c>
      <c r="BR9">
        <v>9.9704049844236806</v>
      </c>
      <c r="BT9">
        <v>1</v>
      </c>
      <c r="BU9">
        <v>2</v>
      </c>
      <c r="BV9">
        <v>9.35</v>
      </c>
      <c r="BW9">
        <v>10.168669336893601</v>
      </c>
      <c r="BY9">
        <v>1</v>
      </c>
      <c r="BZ9">
        <v>1</v>
      </c>
      <c r="CA9">
        <v>9.35</v>
      </c>
      <c r="CB9">
        <v>10.234757454383599</v>
      </c>
      <c r="CD9">
        <v>1</v>
      </c>
      <c r="CE9">
        <v>0</v>
      </c>
      <c r="CF9">
        <v>9.35</v>
      </c>
      <c r="CG9">
        <v>10.2053849577214</v>
      </c>
    </row>
    <row r="10" spans="1:85" x14ac:dyDescent="0.25">
      <c r="R10">
        <f>J25</f>
        <v>8.8708524640342841</v>
      </c>
      <c r="S10">
        <v>-36</v>
      </c>
      <c r="AA10">
        <v>1</v>
      </c>
      <c r="AB10">
        <v>11</v>
      </c>
      <c r="AC10">
        <v>9</v>
      </c>
      <c r="AD10">
        <v>10.168669336893601</v>
      </c>
      <c r="AF10">
        <v>1</v>
      </c>
      <c r="AG10">
        <v>10</v>
      </c>
      <c r="AH10">
        <v>9.35</v>
      </c>
      <c r="AI10">
        <v>10.0658655985759</v>
      </c>
      <c r="AK10">
        <v>1</v>
      </c>
      <c r="AL10">
        <v>9</v>
      </c>
      <c r="AM10">
        <v>9.35</v>
      </c>
      <c r="AN10">
        <v>10.0658655985759</v>
      </c>
      <c r="AP10">
        <v>1</v>
      </c>
      <c r="AQ10">
        <v>8</v>
      </c>
      <c r="AR10">
        <v>9.35</v>
      </c>
      <c r="AS10">
        <v>10.0658655985759</v>
      </c>
      <c r="AU10">
        <v>1</v>
      </c>
      <c r="AV10">
        <v>7</v>
      </c>
      <c r="AW10">
        <v>9.6999999999999993</v>
      </c>
      <c r="AX10">
        <v>9.5004450378282108</v>
      </c>
      <c r="AZ10">
        <v>1</v>
      </c>
      <c r="BA10">
        <v>6</v>
      </c>
      <c r="BB10">
        <v>9.6999999999999993</v>
      </c>
      <c r="BC10">
        <v>9.7721406319537198</v>
      </c>
      <c r="BE10">
        <v>1</v>
      </c>
      <c r="BF10">
        <v>5</v>
      </c>
      <c r="BG10">
        <v>9.6999999999999993</v>
      </c>
      <c r="BH10">
        <v>9.93368936359591</v>
      </c>
      <c r="BJ10">
        <v>1</v>
      </c>
      <c r="BK10">
        <v>4</v>
      </c>
      <c r="BL10">
        <v>9.6999999999999993</v>
      </c>
      <c r="BM10">
        <v>9.8382287494437008</v>
      </c>
      <c r="BO10">
        <v>1</v>
      </c>
      <c r="BP10">
        <v>3</v>
      </c>
      <c r="BQ10">
        <v>9.6999999999999993</v>
      </c>
      <c r="BR10">
        <v>9.7721406319537198</v>
      </c>
      <c r="BT10">
        <v>1</v>
      </c>
      <c r="BU10">
        <v>2</v>
      </c>
      <c r="BV10">
        <v>9.6999999999999993</v>
      </c>
      <c r="BW10">
        <v>9.8382287494437008</v>
      </c>
      <c r="BY10">
        <v>1</v>
      </c>
      <c r="BZ10">
        <v>1</v>
      </c>
      <c r="CA10">
        <v>9.6999999999999993</v>
      </c>
      <c r="CB10">
        <v>9.93368936359591</v>
      </c>
      <c r="CD10">
        <v>1</v>
      </c>
      <c r="CE10">
        <v>0</v>
      </c>
      <c r="CF10">
        <v>9.6999999999999993</v>
      </c>
      <c r="CG10">
        <v>9.9704049844236806</v>
      </c>
    </row>
    <row r="11" spans="1:85" x14ac:dyDescent="0.25">
      <c r="B11">
        <f>INDEX(LINEST([0]!y_s2_c12,[0]!x_s2_c12^{1,2}),1)</f>
        <v>-1.1395174129159529</v>
      </c>
      <c r="C11">
        <f>INDEX(LINEST([0]!y_s2_c12,[0]!x_s2_c12^{1,2}),1,2)</f>
        <v>19.438458923527367</v>
      </c>
      <c r="F11">
        <f>INDEX(LINEST([0]!y_s2_c9,[0]!x_s2_c9^{1,2}),1)</f>
        <v>-0.89344912101784557</v>
      </c>
      <c r="G11">
        <f>INDEX(LINEST([0]!y_s2_c9,[0]!x_s2_c9^{1,2}),1,2)</f>
        <v>15.784862485905945</v>
      </c>
      <c r="J11">
        <f>INDEX(LINEST([0]!y_s2_c6,[0]!x_s2_c6^{1,2}),1)</f>
        <v>-1.3744273219491878</v>
      </c>
      <c r="K11">
        <f>INDEX(LINEST([0]!y_s2_c6,[0]!x_s2_c6^{1,2}),1,2)</f>
        <v>24.274627264600291</v>
      </c>
      <c r="N11">
        <f>INDEX(LINEST([0]!y_s2_c3,[0]!x_s2_c3^{1,2}),1)</f>
        <v>-1.0914779797098952</v>
      </c>
      <c r="O11">
        <f>INDEX(LINEST([0]!y_s2_c3,[0]!x_s2_c3^{1,2}),1,2)</f>
        <v>19.607765001861658</v>
      </c>
      <c r="R11">
        <f>J38</f>
        <v>8.9304952286936494</v>
      </c>
      <c r="S11">
        <v>-27</v>
      </c>
      <c r="AA11">
        <v>1</v>
      </c>
      <c r="AB11">
        <v>11</v>
      </c>
      <c r="AC11">
        <v>9.35</v>
      </c>
      <c r="AD11">
        <v>9.8676012461059202</v>
      </c>
      <c r="AF11">
        <v>1</v>
      </c>
      <c r="AG11">
        <v>10</v>
      </c>
      <c r="AH11">
        <v>9.6999999999999993</v>
      </c>
      <c r="AI11">
        <v>9.7721406319537198</v>
      </c>
      <c r="AK11">
        <v>1</v>
      </c>
      <c r="AL11">
        <v>9</v>
      </c>
      <c r="AM11">
        <v>9.6999999999999993</v>
      </c>
      <c r="AN11">
        <v>9.7721406319537198</v>
      </c>
      <c r="AP11">
        <v>1</v>
      </c>
      <c r="AQ11">
        <v>8</v>
      </c>
      <c r="AR11">
        <v>9.6999999999999993</v>
      </c>
      <c r="AS11">
        <v>9.8015131286159303</v>
      </c>
      <c r="AU11">
        <v>1</v>
      </c>
      <c r="AV11">
        <v>7</v>
      </c>
      <c r="AW11">
        <v>10.050000000000001</v>
      </c>
      <c r="AX11">
        <v>8.8322207387627891</v>
      </c>
      <c r="AZ11">
        <v>1</v>
      </c>
      <c r="BA11">
        <v>6</v>
      </c>
      <c r="BB11">
        <v>10.050000000000001</v>
      </c>
      <c r="BC11">
        <v>9.0672007120605294</v>
      </c>
      <c r="BE11">
        <v>1</v>
      </c>
      <c r="BF11">
        <v>5</v>
      </c>
      <c r="BG11">
        <v>10.050000000000001</v>
      </c>
      <c r="BH11">
        <v>9.3388963061860295</v>
      </c>
      <c r="BJ11">
        <v>1</v>
      </c>
      <c r="BK11">
        <v>4</v>
      </c>
      <c r="BL11">
        <v>10.050000000000001</v>
      </c>
      <c r="BM11">
        <v>9.3682688028482399</v>
      </c>
      <c r="BO11">
        <v>1</v>
      </c>
      <c r="BP11">
        <v>3</v>
      </c>
      <c r="BQ11">
        <v>10.050000000000001</v>
      </c>
      <c r="BR11">
        <v>9.4049844236760105</v>
      </c>
      <c r="BT11">
        <v>1</v>
      </c>
      <c r="BU11">
        <v>2</v>
      </c>
      <c r="BV11">
        <v>10.050000000000001</v>
      </c>
      <c r="BW11">
        <v>9.4049844236760105</v>
      </c>
      <c r="BY11">
        <v>1</v>
      </c>
      <c r="BZ11">
        <v>1</v>
      </c>
      <c r="CA11">
        <v>10.050000000000001</v>
      </c>
      <c r="CB11">
        <v>9.7354250111259493</v>
      </c>
      <c r="CD11">
        <v>1</v>
      </c>
      <c r="CE11">
        <v>0</v>
      </c>
      <c r="CF11">
        <v>10.050000000000001</v>
      </c>
      <c r="CG11">
        <v>9.7721406319537198</v>
      </c>
    </row>
    <row r="12" spans="1:85" x14ac:dyDescent="0.25">
      <c r="A12" t="s">
        <v>0</v>
      </c>
      <c r="B12">
        <f>-C11/(2*B11)</f>
        <v>8.5292504981497306</v>
      </c>
      <c r="E12" t="s">
        <v>0</v>
      </c>
      <c r="F12">
        <f>-G11/(2*F11)</f>
        <v>8.8336661341853073</v>
      </c>
      <c r="I12" t="s">
        <v>1</v>
      </c>
      <c r="J12">
        <f>-K11/(2*J11)</f>
        <v>8.830815160955348</v>
      </c>
      <c r="M12" t="s">
        <v>1</v>
      </c>
      <c r="N12">
        <f>-O11/(2*N11)</f>
        <v>8.9822082379862671</v>
      </c>
      <c r="R12">
        <f>N12</f>
        <v>8.9822082379862671</v>
      </c>
      <c r="S12">
        <v>-18</v>
      </c>
      <c r="AA12">
        <v>1</v>
      </c>
      <c r="AB12">
        <v>11</v>
      </c>
      <c r="AC12">
        <v>9.6999999999999993</v>
      </c>
      <c r="AD12">
        <v>9.3021806853582607</v>
      </c>
      <c r="AF12">
        <v>1</v>
      </c>
      <c r="AG12">
        <v>10</v>
      </c>
      <c r="AH12">
        <v>10.050000000000001</v>
      </c>
      <c r="AI12">
        <v>8.5017801513128592</v>
      </c>
      <c r="AK12">
        <v>1</v>
      </c>
      <c r="AL12">
        <v>9</v>
      </c>
      <c r="AM12">
        <v>10.050000000000001</v>
      </c>
      <c r="AN12">
        <v>8.8028482421005805</v>
      </c>
      <c r="AP12">
        <v>1</v>
      </c>
      <c r="AQ12">
        <v>8</v>
      </c>
      <c r="AR12">
        <v>10.050000000000001</v>
      </c>
      <c r="AS12">
        <v>8.9056519804183392</v>
      </c>
      <c r="BE12">
        <v>1</v>
      </c>
      <c r="BF12">
        <v>5</v>
      </c>
      <c r="BG12">
        <v>10.4</v>
      </c>
      <c r="BH12">
        <v>6.6659991099243401</v>
      </c>
      <c r="BJ12">
        <v>1</v>
      </c>
      <c r="BK12">
        <v>4</v>
      </c>
      <c r="BL12">
        <v>10.4</v>
      </c>
      <c r="BM12">
        <v>7.33422340898976</v>
      </c>
      <c r="BO12">
        <v>1</v>
      </c>
      <c r="BP12">
        <v>3</v>
      </c>
      <c r="BQ12">
        <v>10.4</v>
      </c>
      <c r="BR12">
        <v>7.67200712060525</v>
      </c>
      <c r="BT12">
        <v>1</v>
      </c>
      <c r="BU12">
        <v>2</v>
      </c>
      <c r="BV12">
        <v>10.4</v>
      </c>
      <c r="BW12">
        <v>7.9657320872274102</v>
      </c>
      <c r="BY12">
        <v>1</v>
      </c>
      <c r="BZ12">
        <v>1</v>
      </c>
      <c r="CA12">
        <v>10.4</v>
      </c>
      <c r="CB12">
        <v>8.4724076546506506</v>
      </c>
      <c r="CD12">
        <v>1</v>
      </c>
      <c r="CE12">
        <v>0</v>
      </c>
      <c r="CF12">
        <v>10.4</v>
      </c>
      <c r="CG12">
        <v>8.7661326212728099</v>
      </c>
    </row>
    <row r="13" spans="1:85" x14ac:dyDescent="0.25">
      <c r="R13">
        <f>N25</f>
        <v>9.0812590975254732</v>
      </c>
      <c r="S13">
        <v>-9</v>
      </c>
      <c r="AA13">
        <v>1</v>
      </c>
      <c r="AB13">
        <v>11</v>
      </c>
      <c r="AC13">
        <v>10.050000000000001</v>
      </c>
      <c r="AD13">
        <v>7.4663996439697398</v>
      </c>
    </row>
    <row r="14" spans="1:85" x14ac:dyDescent="0.25">
      <c r="R14">
        <f>N38</f>
        <v>9.1390392156862781</v>
      </c>
      <c r="S14">
        <v>0</v>
      </c>
    </row>
    <row r="17" spans="1:23" x14ac:dyDescent="0.25">
      <c r="R17" t="s">
        <v>4</v>
      </c>
      <c r="S17">
        <f>SLOPE(R3:R14,S3:S14)</f>
        <v>4.6421181560895256E-3</v>
      </c>
      <c r="U17" t="s">
        <v>16</v>
      </c>
      <c r="V17">
        <f>(180*ATAN(S17)/PI())</f>
        <v>0.26597186785689608</v>
      </c>
      <c r="W17" t="s">
        <v>6</v>
      </c>
    </row>
    <row r="18" spans="1:23" x14ac:dyDescent="0.25">
      <c r="R18" t="s">
        <v>5</v>
      </c>
      <c r="S18">
        <f>INTERCEPT(R3:R14,S3:S14)</f>
        <v>9.0911610578952491</v>
      </c>
    </row>
    <row r="24" spans="1:23" x14ac:dyDescent="0.25">
      <c r="B24">
        <f>INDEX(LINEST([0]!y_s2_c11,[0]!x_s2_c11^{1,2}),1)</f>
        <v>-0.95624746179227016</v>
      </c>
      <c r="C24">
        <f>INDEX(LINEST([0]!y_s2_c11,[0]!x_s2_c11^{1,2}),1,2)</f>
        <v>16.683949185243442</v>
      </c>
      <c r="F24">
        <f>INDEX(LINEST([0]!y_s2_c8,[0]!x_s2_c8^{1,2}),1)</f>
        <v>-0.87917677084184165</v>
      </c>
      <c r="G24">
        <f>INDEX(LINEST([0]!y_s2_c8,[0]!x_s2_c8^{1,2}),1,2)</f>
        <v>15.473011634560249</v>
      </c>
      <c r="J24">
        <f>INDEX(LINEST([0]!y_s2_c5,[0]!x_s2_c5^{1,2}),1)</f>
        <v>-1.1656942006251421</v>
      </c>
      <c r="K24">
        <f>INDEX(LINEST([0]!y_s2_c5,[0]!x_s2_c5^{1,2}),1,2)</f>
        <v>20.681402543852034</v>
      </c>
      <c r="N24">
        <f>INDEX(LINEST([0]!y_s2_c2,[0]!x_s2_c2^{1,2}),1)</f>
        <v>-0.98051045709146956</v>
      </c>
      <c r="O24">
        <f>INDEX(LINEST([0]!y_s2_c2,[0]!x_s2_c2^{1,2}),1,2)</f>
        <v>17.808539017361536</v>
      </c>
    </row>
    <row r="25" spans="1:23" x14ac:dyDescent="0.25">
      <c r="A25" t="s">
        <v>0</v>
      </c>
      <c r="B25">
        <f>-C24/(2*B24)</f>
        <v>8.7236567164179153</v>
      </c>
      <c r="E25" t="s">
        <v>0</v>
      </c>
      <c r="F25">
        <f>-G24/(2*F24)</f>
        <v>8.7997159090909065</v>
      </c>
      <c r="I25" t="s">
        <v>0</v>
      </c>
      <c r="J25">
        <f>-K24/(2*J24)</f>
        <v>8.8708524640342841</v>
      </c>
      <c r="M25" t="s">
        <v>0</v>
      </c>
      <c r="N25">
        <f>-O24/(2*N24)</f>
        <v>9.0812590975254732</v>
      </c>
    </row>
    <row r="37" spans="1:15" x14ac:dyDescent="0.25">
      <c r="B37">
        <f>INDEX(LINEST([0]!y_s2_c10,[0]!x_s2_c10^{1,2}),1)</f>
        <v>-0.90593742742184624</v>
      </c>
      <c r="C37">
        <f>INDEX(LINEST([0]!y_s2_c10,[0]!x_s2_c10^{1,2}),1,2)</f>
        <v>15.934097747433739</v>
      </c>
      <c r="F37">
        <f>INDEX(LINEST([0]!y_s2_c7,[0]!x_s2_c7^{1,2}),1)</f>
        <v>-0.80924225497943936</v>
      </c>
      <c r="G37">
        <f>INDEX(LINEST([0]!y_s2_c7,[0]!x_s2_c7^{1,2}),1,2)</f>
        <v>14.277131413313194</v>
      </c>
      <c r="J37">
        <f>INDEX(LINEST([0]!y_s2_c4,[0]!x_s2_c4^{1,2}),1)</f>
        <v>-1.0843418046219027</v>
      </c>
      <c r="K37">
        <f>INDEX(LINEST([0]!y_s2_c4,[0]!x_s2_c4^{1,2}),1,2)</f>
        <v>19.367418624897926</v>
      </c>
      <c r="N37">
        <f>INDEX(LINEST([0]!y_s2_c1,[0]!x_s2_c1^{1,2}),1)</f>
        <v>-0.90986232372025089</v>
      </c>
      <c r="O37">
        <f>INDEX(LINEST([0]!y_s2_c1,[0]!x_s2_c1^{1,2}),1,2)</f>
        <v>16.630534914709632</v>
      </c>
    </row>
    <row r="38" spans="1:15" x14ac:dyDescent="0.25">
      <c r="A38" t="s">
        <v>1</v>
      </c>
      <c r="B38">
        <f>-C37/(2*B37)</f>
        <v>8.7942595510043375</v>
      </c>
      <c r="E38" t="s">
        <v>1</v>
      </c>
      <c r="F38">
        <f>-G37/(2*F37)</f>
        <v>8.8212962962963033</v>
      </c>
      <c r="I38" t="s">
        <v>0</v>
      </c>
      <c r="J38">
        <f>-K37/(2*J37)</f>
        <v>8.9304952286936494</v>
      </c>
      <c r="M38" t="s">
        <v>0</v>
      </c>
      <c r="N38">
        <f>-O37/(2*N37)</f>
        <v>9.1390392156862781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2</v>
      </c>
      <c r="AC2">
        <v>11</v>
      </c>
      <c r="AE2" t="s">
        <v>12</v>
      </c>
      <c r="AF2">
        <v>2</v>
      </c>
      <c r="AG2">
        <v>10</v>
      </c>
      <c r="AI2" t="s">
        <v>12</v>
      </c>
      <c r="AJ2">
        <v>2</v>
      </c>
      <c r="AK2">
        <v>9</v>
      </c>
      <c r="AM2" t="s">
        <v>12</v>
      </c>
      <c r="AN2">
        <v>2</v>
      </c>
      <c r="AO2">
        <v>8</v>
      </c>
      <c r="AQ2" t="s">
        <v>12</v>
      </c>
      <c r="AR2">
        <v>2</v>
      </c>
      <c r="AS2">
        <v>7</v>
      </c>
      <c r="AU2" t="s">
        <v>12</v>
      </c>
      <c r="AV2">
        <v>2</v>
      </c>
      <c r="AW2">
        <v>6</v>
      </c>
      <c r="AY2" t="s">
        <v>12</v>
      </c>
      <c r="AZ2">
        <v>2</v>
      </c>
      <c r="BA2">
        <v>5</v>
      </c>
      <c r="BC2" t="s">
        <v>12</v>
      </c>
      <c r="BD2">
        <v>2</v>
      </c>
      <c r="BE2">
        <v>4</v>
      </c>
      <c r="BG2" t="s">
        <v>12</v>
      </c>
      <c r="BH2">
        <v>2</v>
      </c>
      <c r="BI2">
        <v>3</v>
      </c>
      <c r="BK2" t="s">
        <v>12</v>
      </c>
      <c r="BL2">
        <v>2</v>
      </c>
      <c r="BM2">
        <v>2</v>
      </c>
      <c r="BO2" t="s">
        <v>12</v>
      </c>
      <c r="BP2">
        <v>2</v>
      </c>
      <c r="BQ2">
        <v>1</v>
      </c>
      <c r="BS2" t="s">
        <v>12</v>
      </c>
      <c r="BT2">
        <v>2</v>
      </c>
      <c r="BU2">
        <v>0</v>
      </c>
    </row>
    <row r="3" spans="1:73" x14ac:dyDescent="0.25">
      <c r="R3">
        <f>B12</f>
        <v>17.802933145788522</v>
      </c>
      <c r="S3">
        <v>-99</v>
      </c>
    </row>
    <row r="4" spans="1:73" x14ac:dyDescent="0.25">
      <c r="R4">
        <f>B25</f>
        <v>17.764343379978481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17.868217391304359</v>
      </c>
      <c r="S5">
        <v>-81</v>
      </c>
      <c r="AA5">
        <v>16.600000000000001</v>
      </c>
      <c r="AB5">
        <v>7.2324444444444396</v>
      </c>
      <c r="AC5">
        <v>11</v>
      </c>
      <c r="AE5">
        <v>16.95</v>
      </c>
      <c r="AF5">
        <v>9.8871111111111105</v>
      </c>
      <c r="AG5">
        <v>10</v>
      </c>
      <c r="AI5">
        <v>16.95</v>
      </c>
      <c r="AJ5">
        <v>9.4911111111111097</v>
      </c>
      <c r="AK5">
        <v>9</v>
      </c>
      <c r="AM5">
        <v>16.95</v>
      </c>
      <c r="AN5">
        <v>9.4544444444444409</v>
      </c>
      <c r="AO5">
        <v>8</v>
      </c>
      <c r="AQ5">
        <v>16.95</v>
      </c>
      <c r="AR5">
        <v>9.0877777777777702</v>
      </c>
      <c r="AS5">
        <v>7</v>
      </c>
      <c r="AU5">
        <v>16.95</v>
      </c>
      <c r="AV5">
        <v>9.1537777777777691</v>
      </c>
      <c r="AW5">
        <v>6</v>
      </c>
      <c r="AY5">
        <v>16.95</v>
      </c>
      <c r="AZ5">
        <v>9.1244444444444408</v>
      </c>
      <c r="BA5">
        <v>5</v>
      </c>
      <c r="BC5">
        <v>17.3</v>
      </c>
      <c r="BD5">
        <v>10.151111111111099</v>
      </c>
      <c r="BE5">
        <v>4</v>
      </c>
      <c r="BG5">
        <v>17.3</v>
      </c>
      <c r="BH5">
        <v>9.9237777777777705</v>
      </c>
      <c r="BI5">
        <v>3</v>
      </c>
      <c r="BK5">
        <v>17.3</v>
      </c>
      <c r="BL5">
        <v>9.8504444444444399</v>
      </c>
      <c r="BM5">
        <v>2</v>
      </c>
      <c r="BO5">
        <v>17.3</v>
      </c>
      <c r="BP5">
        <v>9.7551111111111108</v>
      </c>
      <c r="BQ5">
        <v>1</v>
      </c>
      <c r="BS5">
        <v>17.3</v>
      </c>
      <c r="BT5">
        <v>9.4911111111111097</v>
      </c>
      <c r="BU5">
        <v>0</v>
      </c>
    </row>
    <row r="6" spans="1:73" x14ac:dyDescent="0.25">
      <c r="R6">
        <f>F12</f>
        <v>17.916362763915554</v>
      </c>
      <c r="S6">
        <v>-72</v>
      </c>
      <c r="AA6">
        <v>16.95</v>
      </c>
      <c r="AB6">
        <v>9.9531111111111095</v>
      </c>
      <c r="AC6">
        <v>11</v>
      </c>
      <c r="AE6">
        <v>17.3</v>
      </c>
      <c r="AF6">
        <v>10.283111111111101</v>
      </c>
      <c r="AG6">
        <v>10</v>
      </c>
      <c r="AI6">
        <v>17.3</v>
      </c>
      <c r="AJ6">
        <v>10.253777777777801</v>
      </c>
      <c r="AK6">
        <v>9</v>
      </c>
      <c r="AM6">
        <v>17.3</v>
      </c>
      <c r="AN6">
        <v>10.253777777777801</v>
      </c>
      <c r="AO6">
        <v>8</v>
      </c>
      <c r="AQ6">
        <v>17.3</v>
      </c>
      <c r="AR6">
        <v>10.2171111111111</v>
      </c>
      <c r="AS6">
        <v>7</v>
      </c>
      <c r="AU6">
        <v>17.3</v>
      </c>
      <c r="AV6">
        <v>10.2171111111111</v>
      </c>
      <c r="AW6">
        <v>6</v>
      </c>
      <c r="AY6">
        <v>17.3</v>
      </c>
      <c r="AZ6">
        <v>10.253777777777801</v>
      </c>
      <c r="BA6">
        <v>5</v>
      </c>
      <c r="BC6">
        <v>17.649999999999999</v>
      </c>
      <c r="BD6">
        <v>10.451777777777799</v>
      </c>
      <c r="BE6">
        <v>4</v>
      </c>
      <c r="BG6">
        <v>17.649999999999999</v>
      </c>
      <c r="BH6">
        <v>10.283111111111101</v>
      </c>
      <c r="BI6">
        <v>3</v>
      </c>
      <c r="BK6">
        <v>17.649999999999999</v>
      </c>
      <c r="BL6">
        <v>10.283111111111101</v>
      </c>
      <c r="BM6">
        <v>2</v>
      </c>
      <c r="BO6">
        <v>17.649999999999999</v>
      </c>
      <c r="BP6">
        <v>10.253777777777801</v>
      </c>
      <c r="BQ6">
        <v>1</v>
      </c>
      <c r="BS6">
        <v>17.649999999999999</v>
      </c>
      <c r="BT6">
        <v>10.1877777777778</v>
      </c>
      <c r="BU6">
        <v>0</v>
      </c>
    </row>
    <row r="7" spans="1:73" x14ac:dyDescent="0.25">
      <c r="R7">
        <f>F25</f>
        <v>17.948118279569904</v>
      </c>
      <c r="S7">
        <v>-63</v>
      </c>
      <c r="AA7">
        <v>17.3</v>
      </c>
      <c r="AB7">
        <v>10.283111111111101</v>
      </c>
      <c r="AC7">
        <v>11</v>
      </c>
      <c r="AE7">
        <v>17.649999999999999</v>
      </c>
      <c r="AF7">
        <v>10.4151111111111</v>
      </c>
      <c r="AG7">
        <v>10</v>
      </c>
      <c r="AI7">
        <v>17.649999999999999</v>
      </c>
      <c r="AJ7">
        <v>10.3491111111111</v>
      </c>
      <c r="AK7">
        <v>9</v>
      </c>
      <c r="AM7">
        <v>17.649999999999999</v>
      </c>
      <c r="AN7">
        <v>10.3857777777778</v>
      </c>
      <c r="AO7">
        <v>8</v>
      </c>
      <c r="AQ7">
        <v>17.649999999999999</v>
      </c>
      <c r="AR7">
        <v>10.3857777777778</v>
      </c>
      <c r="AS7">
        <v>7</v>
      </c>
      <c r="AU7">
        <v>17.649999999999999</v>
      </c>
      <c r="AV7">
        <v>10.451777777777799</v>
      </c>
      <c r="AW7">
        <v>6</v>
      </c>
      <c r="AY7">
        <v>17.649999999999999</v>
      </c>
      <c r="AZ7">
        <v>10.5177777777778</v>
      </c>
      <c r="BA7">
        <v>5</v>
      </c>
      <c r="BC7">
        <v>18</v>
      </c>
      <c r="BD7">
        <v>10.5177777777778</v>
      </c>
      <c r="BE7">
        <v>4</v>
      </c>
      <c r="BG7">
        <v>18</v>
      </c>
      <c r="BH7">
        <v>10.3491111111111</v>
      </c>
      <c r="BI7">
        <v>3</v>
      </c>
      <c r="BK7">
        <v>18</v>
      </c>
      <c r="BL7">
        <v>10.3491111111111</v>
      </c>
      <c r="BM7">
        <v>2</v>
      </c>
      <c r="BO7">
        <v>18</v>
      </c>
      <c r="BP7">
        <v>10.3491111111111</v>
      </c>
      <c r="BQ7">
        <v>1</v>
      </c>
      <c r="BS7">
        <v>18</v>
      </c>
      <c r="BT7">
        <v>10.3491111111111</v>
      </c>
      <c r="BU7">
        <v>0</v>
      </c>
    </row>
    <row r="8" spans="1:73" x14ac:dyDescent="0.25">
      <c r="R8">
        <f>F38</f>
        <v>18.016288782816236</v>
      </c>
      <c r="S8">
        <v>-54</v>
      </c>
      <c r="AA8">
        <v>17.649999999999999</v>
      </c>
      <c r="AB8">
        <v>10.3857777777778</v>
      </c>
      <c r="AC8">
        <v>11</v>
      </c>
      <c r="AE8">
        <v>18</v>
      </c>
      <c r="AF8">
        <v>10.3857777777778</v>
      </c>
      <c r="AG8">
        <v>10</v>
      </c>
      <c r="AI8">
        <v>18</v>
      </c>
      <c r="AJ8">
        <v>10.3197777777778</v>
      </c>
      <c r="AK8">
        <v>9</v>
      </c>
      <c r="AM8">
        <v>18</v>
      </c>
      <c r="AN8">
        <v>10.3491111111111</v>
      </c>
      <c r="AO8">
        <v>8</v>
      </c>
      <c r="AQ8">
        <v>18</v>
      </c>
      <c r="AR8">
        <v>10.3857777777778</v>
      </c>
      <c r="AS8">
        <v>7</v>
      </c>
      <c r="AU8">
        <v>18</v>
      </c>
      <c r="AV8">
        <v>10.481111111111099</v>
      </c>
      <c r="AW8">
        <v>6</v>
      </c>
      <c r="AY8">
        <v>18</v>
      </c>
      <c r="AZ8">
        <v>10.5177777777778</v>
      </c>
      <c r="BA8">
        <v>5</v>
      </c>
      <c r="BC8">
        <v>18.350000000000001</v>
      </c>
      <c r="BD8">
        <v>10.4151111111111</v>
      </c>
      <c r="BE8">
        <v>4</v>
      </c>
      <c r="BG8">
        <v>18.350000000000001</v>
      </c>
      <c r="BH8">
        <v>10.283111111111101</v>
      </c>
      <c r="BI8">
        <v>3</v>
      </c>
      <c r="BK8">
        <v>18.350000000000001</v>
      </c>
      <c r="BL8">
        <v>10.3197777777778</v>
      </c>
      <c r="BM8">
        <v>2</v>
      </c>
      <c r="BO8">
        <v>18.350000000000001</v>
      </c>
      <c r="BP8">
        <v>10.3197777777778</v>
      </c>
      <c r="BQ8">
        <v>1</v>
      </c>
      <c r="BS8">
        <v>18.350000000000001</v>
      </c>
      <c r="BT8">
        <v>10.283111111111101</v>
      </c>
      <c r="BU8">
        <v>0</v>
      </c>
    </row>
    <row r="9" spans="1:73" x14ac:dyDescent="0.25">
      <c r="R9">
        <f>J12</f>
        <v>18.031912991656739</v>
      </c>
      <c r="S9">
        <v>-45</v>
      </c>
      <c r="AA9">
        <v>18</v>
      </c>
      <c r="AB9">
        <v>10.283111111111101</v>
      </c>
      <c r="AC9">
        <v>11</v>
      </c>
      <c r="AE9">
        <v>18.350000000000001</v>
      </c>
      <c r="AF9">
        <v>10.253777777777801</v>
      </c>
      <c r="AG9">
        <v>10</v>
      </c>
      <c r="AI9">
        <v>18.350000000000001</v>
      </c>
      <c r="AJ9">
        <v>10.253777777777801</v>
      </c>
      <c r="AK9">
        <v>9</v>
      </c>
      <c r="AM9">
        <v>18.350000000000001</v>
      </c>
      <c r="AN9">
        <v>10.3197777777778</v>
      </c>
      <c r="AO9">
        <v>8</v>
      </c>
      <c r="AQ9">
        <v>18.350000000000001</v>
      </c>
      <c r="AR9">
        <v>10.283111111111101</v>
      </c>
      <c r="AS9">
        <v>7</v>
      </c>
      <c r="AU9">
        <v>18.350000000000001</v>
      </c>
      <c r="AV9">
        <v>10.4151111111111</v>
      </c>
      <c r="AW9">
        <v>6</v>
      </c>
      <c r="AY9">
        <v>18.350000000000001</v>
      </c>
      <c r="AZ9">
        <v>10.4151111111111</v>
      </c>
      <c r="BA9">
        <v>5</v>
      </c>
      <c r="BC9">
        <v>18.7</v>
      </c>
      <c r="BD9">
        <v>10.3197777777778</v>
      </c>
      <c r="BE9">
        <v>4</v>
      </c>
      <c r="BG9">
        <v>18.7</v>
      </c>
      <c r="BH9">
        <v>10.2171111111111</v>
      </c>
      <c r="BI9">
        <v>3</v>
      </c>
      <c r="BK9">
        <v>18.7</v>
      </c>
      <c r="BL9">
        <v>10.253777777777801</v>
      </c>
      <c r="BM9">
        <v>2</v>
      </c>
      <c r="BO9">
        <v>18.7</v>
      </c>
      <c r="BP9">
        <v>10.2171111111111</v>
      </c>
      <c r="BQ9">
        <v>1</v>
      </c>
      <c r="BS9">
        <v>18.7</v>
      </c>
      <c r="BT9">
        <v>10.2171111111111</v>
      </c>
      <c r="BU9">
        <v>0</v>
      </c>
    </row>
    <row r="10" spans="1:73" x14ac:dyDescent="0.25">
      <c r="R10">
        <f>J25</f>
        <v>18.030419630156491</v>
      </c>
      <c r="S10">
        <v>-36</v>
      </c>
      <c r="AA10">
        <v>18.350000000000001</v>
      </c>
      <c r="AB10">
        <v>10.151111111111099</v>
      </c>
      <c r="AC10">
        <v>11</v>
      </c>
      <c r="AE10">
        <v>18.7</v>
      </c>
      <c r="AF10">
        <v>9.9897777777777694</v>
      </c>
      <c r="AG10">
        <v>10</v>
      </c>
      <c r="AI10">
        <v>18.7</v>
      </c>
      <c r="AJ10">
        <v>10.0557777777778</v>
      </c>
      <c r="AK10">
        <v>9</v>
      </c>
      <c r="AM10">
        <v>18.7</v>
      </c>
      <c r="AN10">
        <v>10.121777777777799</v>
      </c>
      <c r="AO10">
        <v>8</v>
      </c>
      <c r="AQ10">
        <v>18.7</v>
      </c>
      <c r="AR10">
        <v>10.0557777777778</v>
      </c>
      <c r="AS10">
        <v>7</v>
      </c>
      <c r="AU10">
        <v>18.7</v>
      </c>
      <c r="AV10">
        <v>10.2171111111111</v>
      </c>
      <c r="AW10">
        <v>6</v>
      </c>
      <c r="AY10">
        <v>18.7</v>
      </c>
      <c r="AZ10">
        <v>10.283111111111101</v>
      </c>
      <c r="BA10">
        <v>5</v>
      </c>
      <c r="BC10">
        <v>19.05</v>
      </c>
      <c r="BD10">
        <v>9.7184444444444402</v>
      </c>
      <c r="BE10">
        <v>4</v>
      </c>
      <c r="BG10">
        <v>19.05</v>
      </c>
      <c r="BH10">
        <v>9.4251111111111108</v>
      </c>
      <c r="BI10">
        <v>3</v>
      </c>
      <c r="BK10">
        <v>19.05</v>
      </c>
      <c r="BL10">
        <v>9.8504444444444399</v>
      </c>
      <c r="BM10">
        <v>2</v>
      </c>
      <c r="BO10">
        <v>19.05</v>
      </c>
      <c r="BP10">
        <v>9.7844444444444392</v>
      </c>
      <c r="BQ10">
        <v>1</v>
      </c>
      <c r="BS10">
        <v>19.05</v>
      </c>
      <c r="BT10">
        <v>9.8211111111111098</v>
      </c>
      <c r="BU10">
        <v>0</v>
      </c>
    </row>
    <row r="11" spans="1:73" x14ac:dyDescent="0.25">
      <c r="B11">
        <f>INDEX(LINEST([0]!y_s3_c12,[0]!x_s3_c12^{1,2}),1)</f>
        <v>-2.1533203757693262</v>
      </c>
      <c r="C11">
        <f>INDEX(LINEST([0]!y_s3_c12,[0]!x_s3_c12^{1,2}),1,2)</f>
        <v>76.670837382571065</v>
      </c>
      <c r="F11">
        <f>INDEX(LINEST([0]!y_s3_c9,[0]!x_s3_c9^{1,2}),1)</f>
        <v>-1.1138969873663744</v>
      </c>
      <c r="G11">
        <f>INDEX(LINEST([0]!y_s3_c9,[0]!x_s3_c9^{1,2}),1,2)</f>
        <v>39.913965014577251</v>
      </c>
      <c r="J11">
        <f>INDEX(LINEST([0]!y_s3_c6,[0]!x_s3_c6^{1,2}),1)</f>
        <v>-1.1958535795270488</v>
      </c>
      <c r="K11">
        <f>INDEX(LINEST([0]!y_s3_c6,[0]!x_s3_c6^{1,2}),1,2)</f>
        <v>43.127055393586012</v>
      </c>
      <c r="N11">
        <f>INDEX(LINEST([0]!y_s3_c3,[0]!x_s3_c3^{1,2}),1)</f>
        <v>-1.3790087463556853</v>
      </c>
      <c r="O11">
        <f>INDEX(LINEST([0]!y_s3_c3,[0]!x_s3_c3^{1,2}),1,2)</f>
        <v>49.92343051506321</v>
      </c>
      <c r="R11">
        <f>J38</f>
        <v>18.052152858809816</v>
      </c>
      <c r="S11">
        <v>-27</v>
      </c>
      <c r="AA11">
        <v>18.7</v>
      </c>
      <c r="AB11">
        <v>9.5864444444444405</v>
      </c>
      <c r="AC11">
        <v>11</v>
      </c>
      <c r="AE11">
        <v>19.05</v>
      </c>
      <c r="AF11">
        <v>8.09777777777777</v>
      </c>
      <c r="AG11">
        <v>10</v>
      </c>
      <c r="AI11">
        <v>19.05</v>
      </c>
      <c r="AJ11">
        <v>8.5964444444444403</v>
      </c>
      <c r="AK11">
        <v>9</v>
      </c>
      <c r="AM11">
        <v>19.05</v>
      </c>
      <c r="AN11">
        <v>8.9557777777777705</v>
      </c>
      <c r="AO11">
        <v>8</v>
      </c>
      <c r="AQ11">
        <v>19.05</v>
      </c>
      <c r="AR11">
        <v>8.7577777777777701</v>
      </c>
      <c r="AS11">
        <v>7</v>
      </c>
      <c r="AU11">
        <v>19.05</v>
      </c>
      <c r="AV11">
        <v>9.2931111111111093</v>
      </c>
      <c r="AW11">
        <v>6</v>
      </c>
      <c r="AY11">
        <v>19.05</v>
      </c>
      <c r="AZ11">
        <v>9.3884444444444402</v>
      </c>
      <c r="BA11">
        <v>5</v>
      </c>
      <c r="BK11">
        <v>19.399999999999999</v>
      </c>
      <c r="BL11">
        <v>7.9291111111111103</v>
      </c>
      <c r="BM11">
        <v>2</v>
      </c>
      <c r="BO11">
        <v>19.399999999999999</v>
      </c>
      <c r="BP11">
        <v>7.6651111111111101</v>
      </c>
      <c r="BQ11">
        <v>1</v>
      </c>
      <c r="BS11">
        <v>19.399999999999999</v>
      </c>
      <c r="BT11">
        <v>6.5724444444444403</v>
      </c>
      <c r="BU11">
        <v>0</v>
      </c>
    </row>
    <row r="12" spans="1:73" x14ac:dyDescent="0.25">
      <c r="A12" t="s">
        <v>0</v>
      </c>
      <c r="B12">
        <f>-C11/(2*B11)</f>
        <v>17.802933145788522</v>
      </c>
      <c r="E12" t="s">
        <v>0</v>
      </c>
      <c r="F12">
        <f>-G11/(2*F11)</f>
        <v>17.916362763915554</v>
      </c>
      <c r="I12" t="s">
        <v>1</v>
      </c>
      <c r="J12">
        <f>-K11/(2*J11)</f>
        <v>18.031912991656739</v>
      </c>
      <c r="M12" t="s">
        <v>1</v>
      </c>
      <c r="N12">
        <f>-O11/(2*N11)</f>
        <v>18.101201550387611</v>
      </c>
      <c r="R12">
        <f>N12</f>
        <v>18.101201550387611</v>
      </c>
      <c r="S12">
        <v>-18</v>
      </c>
      <c r="AA12">
        <v>19.05</v>
      </c>
      <c r="AB12">
        <v>7.1664444444444397</v>
      </c>
      <c r="AC12">
        <v>11</v>
      </c>
    </row>
    <row r="13" spans="1:73" x14ac:dyDescent="0.25">
      <c r="R13">
        <f>N25</f>
        <v>18.107263279445732</v>
      </c>
      <c r="S13">
        <v>-9</v>
      </c>
    </row>
    <row r="14" spans="1:73" x14ac:dyDescent="0.25">
      <c r="R14">
        <f>N38</f>
        <v>18.1256351791531</v>
      </c>
      <c r="S14">
        <v>0</v>
      </c>
    </row>
    <row r="17" spans="1:23" x14ac:dyDescent="0.25">
      <c r="R17" t="s">
        <v>4</v>
      </c>
      <c r="S17">
        <f>SLOPE(R3:R14,S3:S14)</f>
        <v>3.5774550547280309E-3</v>
      </c>
      <c r="U17" t="s">
        <v>16</v>
      </c>
      <c r="V17">
        <f>(180 * ATAN(S17) / PI())</f>
        <v>0.20497220161261398</v>
      </c>
      <c r="W17" t="s">
        <v>6</v>
      </c>
    </row>
    <row r="18" spans="1:23" x14ac:dyDescent="0.25">
      <c r="R18" t="s">
        <v>5</v>
      </c>
      <c r="S18">
        <f>INTERCEPT(R3:R14,S3:S14)</f>
        <v>18.157488127957585</v>
      </c>
    </row>
    <row r="24" spans="1:23" x14ac:dyDescent="0.25">
      <c r="B24">
        <f>INDEX(LINEST([0]!y_s3_c11,[0]!x_s3_c11^{1,2}),1)</f>
        <v>-1.3241334629089729</v>
      </c>
      <c r="C24">
        <f>INDEX(LINEST([0]!y_s3_c11,[0]!x_s3_c11^{1,2}),1,2)</f>
        <v>47.044723032069989</v>
      </c>
      <c r="F24">
        <f>INDEX(LINEST([0]!y_s3_c8,[0]!x_s3_c8^{1,2}),1)</f>
        <v>-1.3918367346938783</v>
      </c>
      <c r="G24">
        <f>INDEX(LINEST([0]!y_s3_c8,[0]!x_s3_c8^{1,2}),1,2)</f>
        <v>49.961700680272166</v>
      </c>
      <c r="J24">
        <f>INDEX(LINEST([0]!y_s3_c5,[0]!x_s3_c5^{1,2}),1)</f>
        <v>-0.7515063168124444</v>
      </c>
      <c r="K24">
        <f>INDEX(LINEST([0]!y_s3_c5,[0]!x_s3_c5^{1,2}),1,2)</f>
        <v>27.099948493683403</v>
      </c>
      <c r="N24">
        <f>INDEX(LINEST([0]!y_s3_c2,[0]!x_s3_c2^{1,2}),1)</f>
        <v>-1.5429219306770194</v>
      </c>
      <c r="O24">
        <f>INDEX(LINEST([0]!y_s3_c2,[0]!x_s3_c2^{1,2}),1,2)</f>
        <v>55.876187236799019</v>
      </c>
    </row>
    <row r="25" spans="1:23" x14ac:dyDescent="0.25">
      <c r="A25" t="s">
        <v>0</v>
      </c>
      <c r="B25">
        <f>-C24/(2*B24)</f>
        <v>17.764343379978481</v>
      </c>
      <c r="E25" t="s">
        <v>0</v>
      </c>
      <c r="F25">
        <f>-G24/(2*F24)</f>
        <v>17.948118279569904</v>
      </c>
      <c r="I25" t="s">
        <v>0</v>
      </c>
      <c r="J25">
        <f>-K24/(2*J24)</f>
        <v>18.030419630156491</v>
      </c>
      <c r="M25" t="s">
        <v>0</v>
      </c>
      <c r="N25">
        <f>-O24/(2*N24)</f>
        <v>18.107263279445732</v>
      </c>
    </row>
    <row r="37" spans="1:15" x14ac:dyDescent="0.25">
      <c r="B37">
        <f>INDEX(LINEST([0]!y_s3_c10,[0]!x_s3_c10^{1,2}),1)</f>
        <v>-1.2293488824101046</v>
      </c>
      <c r="C37">
        <f>INDEX(LINEST([0]!y_s3_c10,[0]!x_s3_c10^{1,2}),1,2)</f>
        <v>43.932546161321618</v>
      </c>
      <c r="F37">
        <f>INDEX(LINEST([0]!y_s3_c7,[0]!x_s3_c7^{1,2}),1)</f>
        <v>-1.1944282474894605</v>
      </c>
      <c r="G37">
        <f>INDEX(LINEST([0]!y_s3_c7,[0]!x_s3_c7^{1,2}),1,2)</f>
        <v>43.038328474246448</v>
      </c>
      <c r="J37">
        <f>INDEX(LINEST([0]!y_s3_c4,[0]!x_s3_c4^{1,2}),1)</f>
        <v>-0.91613216715253942</v>
      </c>
      <c r="K37">
        <f>INDEX(LINEST([0]!y_s3_c4,[0]!x_s3_c4^{1,2}),1,2)</f>
        <v>33.076315840620694</v>
      </c>
      <c r="N37">
        <f>INDEX(LINEST([0]!y_s3_c1,[0]!x_s3_c1^{1,2}),1)</f>
        <v>-2.1878846776805649</v>
      </c>
      <c r="O37">
        <f>INDEX(LINEST([0]!y_s3_c1,[0]!x_s3_c1^{1,2}),1,2)</f>
        <v>79.313598963393773</v>
      </c>
    </row>
    <row r="38" spans="1:15" x14ac:dyDescent="0.25">
      <c r="A38" t="s">
        <v>1</v>
      </c>
      <c r="B38">
        <f>-C37/(2*B37)</f>
        <v>17.868217391304359</v>
      </c>
      <c r="E38" t="s">
        <v>1</v>
      </c>
      <c r="F38">
        <f>-G37/(2*F37)</f>
        <v>18.016288782816236</v>
      </c>
      <c r="I38" t="s">
        <v>0</v>
      </c>
      <c r="J38">
        <f>-K37/(2*J37)</f>
        <v>18.052152858809816</v>
      </c>
      <c r="M38" t="s">
        <v>0</v>
      </c>
      <c r="N38">
        <f>-O37/(2*N37)</f>
        <v>18.1256351791531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3</v>
      </c>
      <c r="AC2">
        <v>11</v>
      </c>
      <c r="AE2" t="s">
        <v>12</v>
      </c>
      <c r="AF2">
        <v>3</v>
      </c>
      <c r="AG2">
        <v>10</v>
      </c>
      <c r="AI2" t="s">
        <v>12</v>
      </c>
      <c r="AJ2">
        <v>3</v>
      </c>
      <c r="AK2">
        <v>9</v>
      </c>
      <c r="AM2" t="s">
        <v>12</v>
      </c>
      <c r="AN2">
        <v>3</v>
      </c>
      <c r="AO2">
        <v>8</v>
      </c>
      <c r="AQ2" t="s">
        <v>12</v>
      </c>
      <c r="AR2">
        <v>3</v>
      </c>
      <c r="AS2">
        <v>7</v>
      </c>
      <c r="AU2" t="s">
        <v>12</v>
      </c>
      <c r="AV2">
        <v>3</v>
      </c>
      <c r="AW2">
        <v>6</v>
      </c>
      <c r="AY2" t="s">
        <v>12</v>
      </c>
      <c r="AZ2">
        <v>3</v>
      </c>
      <c r="BA2">
        <v>5</v>
      </c>
      <c r="BC2" t="s">
        <v>12</v>
      </c>
      <c r="BD2">
        <v>3</v>
      </c>
      <c r="BE2">
        <v>4</v>
      </c>
      <c r="BG2" t="s">
        <v>12</v>
      </c>
      <c r="BH2">
        <v>3</v>
      </c>
      <c r="BI2">
        <v>3</v>
      </c>
      <c r="BK2" t="s">
        <v>12</v>
      </c>
      <c r="BL2">
        <v>3</v>
      </c>
      <c r="BM2">
        <v>2</v>
      </c>
      <c r="BO2" t="s">
        <v>12</v>
      </c>
      <c r="BP2">
        <v>3</v>
      </c>
      <c r="BQ2">
        <v>1</v>
      </c>
      <c r="BS2" t="s">
        <v>12</v>
      </c>
      <c r="BT2">
        <v>3</v>
      </c>
      <c r="BU2">
        <v>0</v>
      </c>
    </row>
    <row r="3" spans="1:73" x14ac:dyDescent="0.25">
      <c r="R3">
        <f>B12</f>
        <v>26.726900129701679</v>
      </c>
      <c r="S3">
        <v>-99</v>
      </c>
    </row>
    <row r="4" spans="1:73" x14ac:dyDescent="0.25">
      <c r="R4">
        <f>B25</f>
        <v>26.71780104712041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26.729630246502357</v>
      </c>
      <c r="S5">
        <v>-81</v>
      </c>
      <c r="AA5">
        <v>25.25</v>
      </c>
      <c r="AB5">
        <v>6.9546515505168403</v>
      </c>
      <c r="AC5">
        <v>11</v>
      </c>
      <c r="AE5">
        <v>25.6</v>
      </c>
      <c r="AF5">
        <v>9.2800933644548191</v>
      </c>
      <c r="AG5">
        <v>10</v>
      </c>
      <c r="AI5">
        <v>25.95</v>
      </c>
      <c r="AJ5">
        <v>10.1090363454485</v>
      </c>
      <c r="AK5">
        <v>9</v>
      </c>
      <c r="AM5">
        <v>25.95</v>
      </c>
      <c r="AN5">
        <v>10.1090363454485</v>
      </c>
      <c r="AO5">
        <v>8</v>
      </c>
      <c r="AQ5">
        <v>25.95</v>
      </c>
      <c r="AR5">
        <v>7.3214404801600601</v>
      </c>
      <c r="AS5">
        <v>7</v>
      </c>
      <c r="AU5">
        <v>25.95</v>
      </c>
      <c r="AV5">
        <v>9.7129043014338201</v>
      </c>
      <c r="AW5">
        <v>6</v>
      </c>
      <c r="AY5">
        <v>25.95</v>
      </c>
      <c r="AZ5">
        <v>9.6468822940980399</v>
      </c>
      <c r="BA5">
        <v>5</v>
      </c>
      <c r="BC5">
        <v>25.95</v>
      </c>
      <c r="BD5">
        <v>9.2507502500833692</v>
      </c>
      <c r="BE5">
        <v>4</v>
      </c>
      <c r="BG5">
        <v>25.95</v>
      </c>
      <c r="BH5">
        <v>9.1480493497832693</v>
      </c>
      <c r="BI5">
        <v>3</v>
      </c>
      <c r="BK5">
        <v>25.95</v>
      </c>
      <c r="BL5">
        <v>8.81793931310437</v>
      </c>
      <c r="BM5">
        <v>2</v>
      </c>
      <c r="BO5">
        <v>25.95</v>
      </c>
      <c r="BP5">
        <v>9.1847282427475907</v>
      </c>
      <c r="BQ5">
        <v>1</v>
      </c>
      <c r="BS5">
        <v>25.95</v>
      </c>
      <c r="BT5">
        <v>8.5831943981327203</v>
      </c>
      <c r="BU5">
        <v>0</v>
      </c>
    </row>
    <row r="6" spans="1:73" x14ac:dyDescent="0.25">
      <c r="R6">
        <f>F12</f>
        <v>26.767338129496412</v>
      </c>
      <c r="S6">
        <v>-72</v>
      </c>
      <c r="AA6">
        <v>25.6</v>
      </c>
      <c r="AB6">
        <v>9.4781593864621598</v>
      </c>
      <c r="AC6">
        <v>11</v>
      </c>
      <c r="AE6">
        <v>25.95</v>
      </c>
      <c r="AF6">
        <v>10.277759253084399</v>
      </c>
      <c r="AG6">
        <v>10</v>
      </c>
      <c r="AI6">
        <v>26.3</v>
      </c>
      <c r="AJ6">
        <v>10.446482160720199</v>
      </c>
      <c r="AK6">
        <v>9</v>
      </c>
      <c r="AM6">
        <v>26.3</v>
      </c>
      <c r="AN6">
        <v>10.409803267755899</v>
      </c>
      <c r="AO6">
        <v>8</v>
      </c>
      <c r="AQ6">
        <v>26.3</v>
      </c>
      <c r="AR6">
        <v>10.446482160720199</v>
      </c>
      <c r="AS6">
        <v>7</v>
      </c>
      <c r="AU6">
        <v>26.3</v>
      </c>
      <c r="AV6">
        <v>10.409803267755899</v>
      </c>
      <c r="AW6">
        <v>6</v>
      </c>
      <c r="AY6">
        <v>26.3</v>
      </c>
      <c r="AZ6">
        <v>10.380460153384499</v>
      </c>
      <c r="BA6">
        <v>5</v>
      </c>
      <c r="BC6">
        <v>26.3</v>
      </c>
      <c r="BD6">
        <v>10.314438146048699</v>
      </c>
      <c r="BE6">
        <v>4</v>
      </c>
      <c r="BG6">
        <v>26.3</v>
      </c>
      <c r="BH6">
        <v>10.2484161387129</v>
      </c>
      <c r="BI6">
        <v>3</v>
      </c>
      <c r="BK6">
        <v>26.3</v>
      </c>
      <c r="BL6">
        <v>10.277759253084399</v>
      </c>
      <c r="BM6">
        <v>2</v>
      </c>
      <c r="BO6">
        <v>26.3</v>
      </c>
      <c r="BP6">
        <v>10.2484161387129</v>
      </c>
      <c r="BQ6">
        <v>1</v>
      </c>
      <c r="BS6">
        <v>26.3</v>
      </c>
      <c r="BT6">
        <v>10.175058352784299</v>
      </c>
      <c r="BU6">
        <v>0</v>
      </c>
    </row>
    <row r="7" spans="1:73" x14ac:dyDescent="0.25">
      <c r="R7">
        <f>F25</f>
        <v>27.089382911392413</v>
      </c>
      <c r="S7">
        <v>-63</v>
      </c>
      <c r="AA7">
        <v>25.95</v>
      </c>
      <c r="AB7">
        <v>10.380460153384499</v>
      </c>
      <c r="AC7">
        <v>11</v>
      </c>
      <c r="AE7">
        <v>26.3</v>
      </c>
      <c r="AF7">
        <v>10.475825275091699</v>
      </c>
      <c r="AG7">
        <v>10</v>
      </c>
      <c r="AI7">
        <v>26.65</v>
      </c>
      <c r="AJ7">
        <v>10.541847282427501</v>
      </c>
      <c r="AK7">
        <v>9</v>
      </c>
      <c r="AM7">
        <v>26.65</v>
      </c>
      <c r="AN7">
        <v>10.578526175391801</v>
      </c>
      <c r="AO7">
        <v>8</v>
      </c>
      <c r="AQ7">
        <v>26.65</v>
      </c>
      <c r="AR7">
        <v>10.475825275091699</v>
      </c>
      <c r="AS7">
        <v>7</v>
      </c>
      <c r="AU7">
        <v>26.65</v>
      </c>
      <c r="AV7">
        <v>10.578526175391801</v>
      </c>
      <c r="AW7">
        <v>6</v>
      </c>
      <c r="AY7">
        <v>26.65</v>
      </c>
      <c r="AZ7">
        <v>10.6078692897633</v>
      </c>
      <c r="BA7">
        <v>5</v>
      </c>
      <c r="BC7">
        <v>26.65</v>
      </c>
      <c r="BD7">
        <v>10.475825275091699</v>
      </c>
      <c r="BE7">
        <v>4</v>
      </c>
      <c r="BG7">
        <v>26.65</v>
      </c>
      <c r="BH7">
        <v>10.446482160720199</v>
      </c>
      <c r="BI7">
        <v>3</v>
      </c>
      <c r="BK7">
        <v>26.65</v>
      </c>
      <c r="BL7">
        <v>10.512504168055999</v>
      </c>
      <c r="BM7">
        <v>2</v>
      </c>
      <c r="BO7">
        <v>26.65</v>
      </c>
      <c r="BP7">
        <v>10.475825275091699</v>
      </c>
      <c r="BQ7">
        <v>1</v>
      </c>
      <c r="BS7">
        <v>26.65</v>
      </c>
      <c r="BT7">
        <v>10.409803267755899</v>
      </c>
      <c r="BU7">
        <v>0</v>
      </c>
    </row>
    <row r="8" spans="1:73" x14ac:dyDescent="0.25">
      <c r="R8">
        <f>F38</f>
        <v>26.906775700934595</v>
      </c>
      <c r="S8">
        <v>-54</v>
      </c>
      <c r="AA8">
        <v>26.3</v>
      </c>
      <c r="AB8">
        <v>10.541847282427501</v>
      </c>
      <c r="AC8">
        <v>11</v>
      </c>
      <c r="AE8">
        <v>26.65</v>
      </c>
      <c r="AF8">
        <v>10.541847282427501</v>
      </c>
      <c r="AG8">
        <v>10</v>
      </c>
      <c r="AI8">
        <v>27</v>
      </c>
      <c r="AJ8">
        <v>10.475825275091699</v>
      </c>
      <c r="AK8">
        <v>9</v>
      </c>
      <c r="AM8">
        <v>27</v>
      </c>
      <c r="AN8">
        <v>10.475825275091699</v>
      </c>
      <c r="AO8">
        <v>8</v>
      </c>
      <c r="AQ8">
        <v>27</v>
      </c>
      <c r="AR8">
        <v>10.446482160720199</v>
      </c>
      <c r="AS8">
        <v>7</v>
      </c>
      <c r="AU8">
        <v>27</v>
      </c>
      <c r="AV8">
        <v>10.578526175391801</v>
      </c>
      <c r="AW8">
        <v>6</v>
      </c>
      <c r="AY8">
        <v>27</v>
      </c>
      <c r="AZ8">
        <v>10.541847282427501</v>
      </c>
      <c r="BA8">
        <v>5</v>
      </c>
      <c r="BC8">
        <v>27</v>
      </c>
      <c r="BD8">
        <v>10.512504168055999</v>
      </c>
      <c r="BE8">
        <v>4</v>
      </c>
      <c r="BG8">
        <v>27</v>
      </c>
      <c r="BH8">
        <v>10.512504168055999</v>
      </c>
      <c r="BI8">
        <v>3</v>
      </c>
      <c r="BK8">
        <v>27</v>
      </c>
      <c r="BL8">
        <v>10.541847282427501</v>
      </c>
      <c r="BM8">
        <v>2</v>
      </c>
      <c r="BO8">
        <v>27</v>
      </c>
      <c r="BP8">
        <v>10.578526175391801</v>
      </c>
      <c r="BQ8">
        <v>1</v>
      </c>
      <c r="BS8">
        <v>27</v>
      </c>
      <c r="BT8">
        <v>10.512504168055999</v>
      </c>
      <c r="BU8">
        <v>0</v>
      </c>
    </row>
    <row r="9" spans="1:73" x14ac:dyDescent="0.25">
      <c r="R9">
        <f>J12</f>
        <v>26.919993646759853</v>
      </c>
      <c r="S9">
        <v>-45</v>
      </c>
      <c r="AA9">
        <v>26.65</v>
      </c>
      <c r="AB9">
        <v>10.578526175391801</v>
      </c>
      <c r="AC9">
        <v>11</v>
      </c>
      <c r="AE9">
        <v>27</v>
      </c>
      <c r="AF9">
        <v>10.475825275091699</v>
      </c>
      <c r="AG9">
        <v>10</v>
      </c>
      <c r="AI9">
        <v>27.35</v>
      </c>
      <c r="AJ9">
        <v>10.314438146048699</v>
      </c>
      <c r="AK9">
        <v>9</v>
      </c>
      <c r="AM9">
        <v>27.35</v>
      </c>
      <c r="AN9">
        <v>10.446482160720199</v>
      </c>
      <c r="AO9">
        <v>8</v>
      </c>
      <c r="AQ9">
        <v>27.35</v>
      </c>
      <c r="AR9">
        <v>10.380460153384499</v>
      </c>
      <c r="AS9">
        <v>7</v>
      </c>
      <c r="AU9">
        <v>27.35</v>
      </c>
      <c r="AV9">
        <v>10.475825275091699</v>
      </c>
      <c r="AW9">
        <v>6</v>
      </c>
      <c r="AY9">
        <v>27.35</v>
      </c>
      <c r="AZ9">
        <v>10.512504168055999</v>
      </c>
      <c r="BA9">
        <v>5</v>
      </c>
      <c r="BC9">
        <v>27.35</v>
      </c>
      <c r="BD9">
        <v>10.446482160720199</v>
      </c>
      <c r="BE9">
        <v>4</v>
      </c>
      <c r="BG9">
        <v>27.35</v>
      </c>
      <c r="BH9">
        <v>10.380460153384499</v>
      </c>
      <c r="BI9">
        <v>3</v>
      </c>
      <c r="BK9">
        <v>27.35</v>
      </c>
      <c r="BL9">
        <v>10.409803267755899</v>
      </c>
      <c r="BM9">
        <v>2</v>
      </c>
      <c r="BO9">
        <v>27.35</v>
      </c>
      <c r="BP9">
        <v>10.512504168055999</v>
      </c>
      <c r="BQ9">
        <v>1</v>
      </c>
      <c r="BS9">
        <v>27.35</v>
      </c>
      <c r="BT9">
        <v>10.475825275091699</v>
      </c>
      <c r="BU9">
        <v>0</v>
      </c>
    </row>
    <row r="10" spans="1:73" x14ac:dyDescent="0.25">
      <c r="R10">
        <f>J25</f>
        <v>26.978733264675597</v>
      </c>
      <c r="S10">
        <v>-36</v>
      </c>
      <c r="AA10">
        <v>27</v>
      </c>
      <c r="AB10">
        <v>10.512504168055999</v>
      </c>
      <c r="AC10">
        <v>11</v>
      </c>
      <c r="AE10">
        <v>27.35</v>
      </c>
      <c r="AF10">
        <v>10.3437812604201</v>
      </c>
      <c r="AG10">
        <v>10</v>
      </c>
      <c r="AI10">
        <v>27.7</v>
      </c>
      <c r="AJ10">
        <v>10.0136712237413</v>
      </c>
      <c r="AK10">
        <v>9</v>
      </c>
      <c r="AM10">
        <v>27.7</v>
      </c>
      <c r="AN10">
        <v>10.1090363454485</v>
      </c>
      <c r="AO10">
        <v>8</v>
      </c>
      <c r="AQ10">
        <v>27.7</v>
      </c>
      <c r="AR10">
        <v>10.079693231077</v>
      </c>
      <c r="AS10">
        <v>7</v>
      </c>
      <c r="AU10">
        <v>27.7</v>
      </c>
      <c r="AV10">
        <v>10.277759253084399</v>
      </c>
      <c r="AW10">
        <v>6</v>
      </c>
      <c r="AY10">
        <v>27.7</v>
      </c>
      <c r="AZ10">
        <v>10.2484161387129</v>
      </c>
      <c r="BA10">
        <v>5</v>
      </c>
      <c r="BC10">
        <v>27.7</v>
      </c>
      <c r="BD10">
        <v>10.2117372457486</v>
      </c>
      <c r="BE10">
        <v>4</v>
      </c>
      <c r="BG10">
        <v>27.7</v>
      </c>
      <c r="BH10">
        <v>10.2484161387129</v>
      </c>
      <c r="BI10">
        <v>3</v>
      </c>
      <c r="BK10">
        <v>27.7</v>
      </c>
      <c r="BL10">
        <v>10.314438146048699</v>
      </c>
      <c r="BM10">
        <v>2</v>
      </c>
      <c r="BO10">
        <v>27.7</v>
      </c>
      <c r="BP10">
        <v>10.380460153384499</v>
      </c>
      <c r="BQ10">
        <v>1</v>
      </c>
      <c r="BS10">
        <v>27.7</v>
      </c>
      <c r="BT10">
        <v>10.314438146048699</v>
      </c>
      <c r="BU10">
        <v>0</v>
      </c>
    </row>
    <row r="11" spans="1:73" x14ac:dyDescent="0.25">
      <c r="B11">
        <f>INDEX(LINEST([0]!y_s4_c12,[0]!x_s4_c12^{1,2}),1)</f>
        <v>-1.598978085017658</v>
      </c>
      <c r="C11">
        <f>INDEX(LINEST([0]!y_s4_c12,[0]!x_s4_c12^{1,2}),1,2)</f>
        <v>85.471455175697173</v>
      </c>
      <c r="F11">
        <f>INDEX(LINEST([0]!y_s4_c9,[0]!x_s4_c9^{1,2}),1)</f>
        <v>-0.99093607814204243</v>
      </c>
      <c r="G11">
        <f>INDEX(LINEST([0]!y_s4_c9,[0]!x_s4_c9^{1,2}),1,2)</f>
        <v>53.04944213669026</v>
      </c>
      <c r="J11">
        <f>INDEX(LINEST([0]!y_s4_c6,[0]!x_s4_c6^{1,2}),1)</f>
        <v>-1.4026379379456493</v>
      </c>
      <c r="K11">
        <f>INDEX(LINEST([0]!y_s4_c6,[0]!x_s4_c6^{1,2}),1,2)</f>
        <v>75.518008756402438</v>
      </c>
      <c r="N11">
        <f>INDEX(LINEST([0]!y_s4_c3,[0]!x_s4_c3^{1,2}),1)</f>
        <v>-1.3545169413452078</v>
      </c>
      <c r="O11">
        <f>INDEX(LINEST([0]!y_s4_c3,[0]!x_s4_c3^{1,2}),1,2)</f>
        <v>73.376464004360599</v>
      </c>
      <c r="R11">
        <f>J38</f>
        <v>27.011819797648347</v>
      </c>
      <c r="S11">
        <v>-27</v>
      </c>
      <c r="AA11">
        <v>27.35</v>
      </c>
      <c r="AB11">
        <v>10.3437812604201</v>
      </c>
      <c r="AC11">
        <v>11</v>
      </c>
      <c r="AE11">
        <v>27.7</v>
      </c>
      <c r="AF11">
        <v>10.0136712237413</v>
      </c>
      <c r="AG11">
        <v>10</v>
      </c>
      <c r="AI11">
        <v>28.05</v>
      </c>
      <c r="AJ11">
        <v>8.5831943981327203</v>
      </c>
      <c r="AK11">
        <v>9</v>
      </c>
      <c r="AM11">
        <v>28.05</v>
      </c>
      <c r="AN11">
        <v>8.8472824274758306</v>
      </c>
      <c r="AO11">
        <v>8</v>
      </c>
      <c r="AQ11">
        <v>28.05</v>
      </c>
      <c r="AR11">
        <v>8.9133044348116108</v>
      </c>
      <c r="AS11">
        <v>7</v>
      </c>
      <c r="AU11">
        <v>28.05</v>
      </c>
      <c r="AV11">
        <v>9.1847282427475907</v>
      </c>
      <c r="AW11">
        <v>6</v>
      </c>
      <c r="AY11">
        <v>28.05</v>
      </c>
      <c r="AZ11">
        <v>9.6102034011337203</v>
      </c>
      <c r="BA11">
        <v>5</v>
      </c>
      <c r="BC11">
        <v>28.05</v>
      </c>
      <c r="BD11">
        <v>9.4781593864621598</v>
      </c>
      <c r="BE11">
        <v>4</v>
      </c>
      <c r="BG11">
        <v>28.05</v>
      </c>
      <c r="BH11">
        <v>9.5148382794264794</v>
      </c>
      <c r="BI11">
        <v>3</v>
      </c>
      <c r="BK11">
        <v>28.05</v>
      </c>
      <c r="BL11">
        <v>9.8449483161053699</v>
      </c>
      <c r="BM11">
        <v>2</v>
      </c>
      <c r="BO11">
        <v>28.05</v>
      </c>
      <c r="BP11">
        <v>10.0136712237413</v>
      </c>
      <c r="BQ11">
        <v>1</v>
      </c>
      <c r="BS11">
        <v>28.05</v>
      </c>
      <c r="BT11">
        <v>10.0430143381127</v>
      </c>
      <c r="BU11">
        <v>0</v>
      </c>
    </row>
    <row r="12" spans="1:73" x14ac:dyDescent="0.25">
      <c r="A12" t="s">
        <v>0</v>
      </c>
      <c r="B12">
        <f>-C11/(2*B11)</f>
        <v>26.726900129701679</v>
      </c>
      <c r="E12" t="s">
        <v>0</v>
      </c>
      <c r="F12">
        <f>-G11/(2*F11)</f>
        <v>26.767338129496412</v>
      </c>
      <c r="I12" t="s">
        <v>1</v>
      </c>
      <c r="J12">
        <f>-K11/(2*J11)</f>
        <v>26.919993646759853</v>
      </c>
      <c r="M12" t="s">
        <v>1</v>
      </c>
      <c r="N12">
        <f>-O11/(2*N11)</f>
        <v>27.085842105263158</v>
      </c>
      <c r="R12">
        <f>N12</f>
        <v>27.085842105263158</v>
      </c>
      <c r="S12">
        <v>-18</v>
      </c>
      <c r="AA12">
        <v>27.7</v>
      </c>
      <c r="AB12">
        <v>9.8156052017339199</v>
      </c>
      <c r="AC12">
        <v>11</v>
      </c>
      <c r="AE12">
        <v>28.05</v>
      </c>
      <c r="AF12">
        <v>8.5538512837612597</v>
      </c>
      <c r="AG12">
        <v>10</v>
      </c>
      <c r="AY12">
        <v>28.4</v>
      </c>
      <c r="AZ12">
        <v>7.3507835945315199</v>
      </c>
      <c r="BA12">
        <v>5</v>
      </c>
      <c r="BC12">
        <v>28.4</v>
      </c>
      <c r="BD12">
        <v>7.6882294098032702</v>
      </c>
      <c r="BE12">
        <v>4</v>
      </c>
      <c r="BG12">
        <v>28.4</v>
      </c>
      <c r="BH12">
        <v>7.9889963321107098</v>
      </c>
      <c r="BI12">
        <v>3</v>
      </c>
      <c r="BK12">
        <v>28.4</v>
      </c>
      <c r="BL12">
        <v>8.2164054684894996</v>
      </c>
      <c r="BM12">
        <v>2</v>
      </c>
      <c r="BO12">
        <v>28.4</v>
      </c>
      <c r="BP12">
        <v>8.5171723907969401</v>
      </c>
      <c r="BQ12">
        <v>1</v>
      </c>
      <c r="BS12">
        <v>28.4</v>
      </c>
      <c r="BT12">
        <v>8.9133044348116108</v>
      </c>
      <c r="BU12">
        <v>0</v>
      </c>
    </row>
    <row r="13" spans="1:73" x14ac:dyDescent="0.25">
      <c r="R13">
        <f>N25</f>
        <v>27.084027991387277</v>
      </c>
      <c r="S13">
        <v>-9</v>
      </c>
      <c r="AA13">
        <v>28.05</v>
      </c>
      <c r="AB13">
        <v>8.0183394464821696</v>
      </c>
      <c r="AC13">
        <v>11</v>
      </c>
    </row>
    <row r="14" spans="1:73" x14ac:dyDescent="0.25">
      <c r="R14">
        <f>N38</f>
        <v>27.194029738660262</v>
      </c>
      <c r="S14">
        <v>0</v>
      </c>
    </row>
    <row r="17" spans="1:23" x14ac:dyDescent="0.25">
      <c r="R17" t="s">
        <v>4</v>
      </c>
      <c r="S17">
        <f>SLOPE(R3:R14,S3:S14)</f>
        <v>4.5965922900956888E-3</v>
      </c>
      <c r="U17" t="s">
        <v>16</v>
      </c>
      <c r="V17">
        <f>(180 * ATAN(S17) / PI())</f>
        <v>0.26336348353608086</v>
      </c>
      <c r="W17" t="s">
        <v>6</v>
      </c>
    </row>
    <row r="18" spans="1:23" x14ac:dyDescent="0.25">
      <c r="R18" t="s">
        <v>5</v>
      </c>
      <c r="S18">
        <f>INTERCEPT(R3:R14,S3:S14)</f>
        <v>27.161887544154936</v>
      </c>
    </row>
    <row r="24" spans="1:23" x14ac:dyDescent="0.25">
      <c r="B24">
        <f>INDEX(LINEST([0]!y_s4_c11,[0]!x_s4_c11^{1,2}),1)</f>
        <v>-1.0893167823028849</v>
      </c>
      <c r="C24">
        <f>INDEX(LINEST([0]!y_s4_c11,[0]!x_s4_c11^{1,2}),1,2)</f>
        <v>58.208298133715708</v>
      </c>
      <c r="F24">
        <f>INDEX(LINEST([0]!y_s4_c8,[0]!x_s4_c8^{1,2}),1)</f>
        <v>-2.2527755445531024</v>
      </c>
      <c r="G24">
        <f>INDEX(LINEST([0]!y_s4_c8,[0]!x_s4_c8^{1,2}),1,2)</f>
        <v>122.05259867963909</v>
      </c>
      <c r="J24">
        <f>INDEX(LINEST([0]!y_s4_c5,[0]!x_s4_c5^{1,2}),1)</f>
        <v>-1.3844588947854652</v>
      </c>
      <c r="K24">
        <f>INDEX(LINEST([0]!y_s4_c5,[0]!x_s4_c5^{1,2}),1,2)</f>
        <v>74.701894476649287</v>
      </c>
      <c r="N24">
        <f>INDEX(LINEST([0]!y_s4_c2,[0]!x_s4_c2^{1,2}),1)</f>
        <v>-1.1588248885034937</v>
      </c>
      <c r="O24">
        <f>INDEX(LINEST([0]!y_s4_c2,[0]!x_s4_c2^{1,2}),1,2)</f>
        <v>62.771291434689729</v>
      </c>
    </row>
    <row r="25" spans="1:23" x14ac:dyDescent="0.25">
      <c r="A25" t="s">
        <v>0</v>
      </c>
      <c r="B25">
        <f>-C24/(2*B24)</f>
        <v>26.71780104712041</v>
      </c>
      <c r="E25" t="s">
        <v>0</v>
      </c>
      <c r="F25">
        <f>-G24/(2*F24)</f>
        <v>27.089382911392413</v>
      </c>
      <c r="I25" t="s">
        <v>0</v>
      </c>
      <c r="J25">
        <f>-K24/(2*J24)</f>
        <v>26.978733264675597</v>
      </c>
      <c r="M25" t="s">
        <v>0</v>
      </c>
      <c r="N25">
        <f>-O24/(2*N24)</f>
        <v>27.084027991387277</v>
      </c>
    </row>
    <row r="37" spans="1:15" x14ac:dyDescent="0.25">
      <c r="B37">
        <f>INDEX(LINEST([0]!y_s4_c10,[0]!x_s4_c10^{1,2}),1)</f>
        <v>-1.0700683836627589</v>
      </c>
      <c r="C37">
        <f>INDEX(LINEST([0]!y_s4_c10,[0]!x_s4_c10^{1,2}),1,2)</f>
        <v>57.205064467555935</v>
      </c>
      <c r="F37">
        <f>INDEX(LINEST([0]!y_s4_c7,[0]!x_s4_c7^{1,2}),1)</f>
        <v>-1.0679296727027257</v>
      </c>
      <c r="G37">
        <f>INDEX(LINEST([0]!y_s4_c7,[0]!x_s4_c7^{1,2}),1,2)</f>
        <v>57.469088335569467</v>
      </c>
      <c r="J37">
        <f>INDEX(LINEST([0]!y_s4_c4,[0]!x_s4_c4^{1,2}),1)</f>
        <v>-1.3035443301314276</v>
      </c>
      <c r="K37">
        <f>INDEX(LINEST([0]!y_s4_c4,[0]!x_s4_c4^{1,2}),1,2)</f>
        <v>70.422209087512698</v>
      </c>
      <c r="N37">
        <f>INDEX(LINEST([0]!y_s4_c1,[0]!x_s4_c1^{1,2}),1)</f>
        <v>-1.1866281309837219</v>
      </c>
      <c r="O37">
        <f>INDEX(LINEST([0]!y_s4_c1,[0]!x_s4_c1^{1,2}),1,2)</f>
        <v>64.538401365404354</v>
      </c>
    </row>
    <row r="38" spans="1:15" x14ac:dyDescent="0.25">
      <c r="A38" t="s">
        <v>1</v>
      </c>
      <c r="B38">
        <f>-C37/(2*B37)</f>
        <v>26.729630246502357</v>
      </c>
      <c r="E38" t="s">
        <v>1</v>
      </c>
      <c r="F38">
        <f>-G37/(2*F37)</f>
        <v>26.906775700934595</v>
      </c>
      <c r="I38" t="s">
        <v>0</v>
      </c>
      <c r="J38">
        <f>-K37/(2*J37)</f>
        <v>27.011819797648347</v>
      </c>
      <c r="M38" t="s">
        <v>0</v>
      </c>
      <c r="N38">
        <f>-O37/(2*N37)</f>
        <v>27.194029738660262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4</v>
      </c>
      <c r="AC2">
        <v>11</v>
      </c>
      <c r="AE2" t="s">
        <v>12</v>
      </c>
      <c r="AF2">
        <v>4</v>
      </c>
      <c r="AG2">
        <v>10</v>
      </c>
      <c r="AI2" t="s">
        <v>12</v>
      </c>
      <c r="AJ2">
        <v>4</v>
      </c>
      <c r="AK2">
        <v>9</v>
      </c>
      <c r="AM2" t="s">
        <v>12</v>
      </c>
      <c r="AN2">
        <v>4</v>
      </c>
      <c r="AO2">
        <v>8</v>
      </c>
      <c r="AQ2" t="s">
        <v>12</v>
      </c>
      <c r="AR2">
        <v>4</v>
      </c>
      <c r="AS2">
        <v>7</v>
      </c>
      <c r="AU2" t="s">
        <v>12</v>
      </c>
      <c r="AV2">
        <v>4</v>
      </c>
      <c r="AW2">
        <v>6</v>
      </c>
      <c r="AY2" t="s">
        <v>12</v>
      </c>
      <c r="AZ2">
        <v>4</v>
      </c>
      <c r="BA2">
        <v>5</v>
      </c>
      <c r="BC2" t="s">
        <v>12</v>
      </c>
      <c r="BD2">
        <v>4</v>
      </c>
      <c r="BE2">
        <v>4</v>
      </c>
      <c r="BG2" t="s">
        <v>12</v>
      </c>
      <c r="BH2">
        <v>4</v>
      </c>
      <c r="BI2">
        <v>3</v>
      </c>
      <c r="BK2" t="s">
        <v>12</v>
      </c>
      <c r="BL2">
        <v>4</v>
      </c>
      <c r="BM2">
        <v>2</v>
      </c>
      <c r="BO2" t="s">
        <v>12</v>
      </c>
      <c r="BP2">
        <v>4</v>
      </c>
      <c r="BQ2">
        <v>1</v>
      </c>
      <c r="BS2" t="s">
        <v>12</v>
      </c>
      <c r="BT2">
        <v>4</v>
      </c>
      <c r="BU2">
        <v>0</v>
      </c>
    </row>
    <row r="3" spans="1:73" x14ac:dyDescent="0.25">
      <c r="R3">
        <f>B12</f>
        <v>35.482710908113887</v>
      </c>
      <c r="S3">
        <v>-99</v>
      </c>
    </row>
    <row r="4" spans="1:73" x14ac:dyDescent="0.25">
      <c r="R4">
        <f>B25</f>
        <v>35.593988853503149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35.686803475134795</v>
      </c>
      <c r="S5">
        <v>-81</v>
      </c>
      <c r="AA5">
        <v>34.6</v>
      </c>
      <c r="AB5">
        <v>9.8510732955177396</v>
      </c>
      <c r="AC5">
        <v>11</v>
      </c>
      <c r="AE5">
        <v>34.6</v>
      </c>
      <c r="AF5">
        <v>9.7850072294516792</v>
      </c>
      <c r="AG5">
        <v>10</v>
      </c>
      <c r="AI5">
        <v>34.6</v>
      </c>
      <c r="AJ5">
        <v>9.1904126348570792</v>
      </c>
      <c r="AK5">
        <v>9</v>
      </c>
      <c r="AM5">
        <v>34.6</v>
      </c>
      <c r="AN5">
        <v>8.7940162384606904</v>
      </c>
      <c r="AO5">
        <v>8</v>
      </c>
      <c r="AQ5">
        <v>34.6</v>
      </c>
      <c r="AR5">
        <v>7.2010899788677598</v>
      </c>
      <c r="AS5">
        <v>7</v>
      </c>
      <c r="AU5">
        <v>34.6</v>
      </c>
      <c r="AV5">
        <v>7.0028917806695601</v>
      </c>
      <c r="AW5">
        <v>6</v>
      </c>
      <c r="AY5">
        <v>34.950000000000003</v>
      </c>
      <c r="AZ5">
        <v>9.8217105994883802</v>
      </c>
      <c r="BA5">
        <v>5</v>
      </c>
      <c r="BC5">
        <v>34.950000000000003</v>
      </c>
      <c r="BD5">
        <v>9.5868090312534804</v>
      </c>
      <c r="BE5">
        <v>4</v>
      </c>
      <c r="BG5">
        <v>34.950000000000003</v>
      </c>
      <c r="BH5">
        <v>9.3519074630185806</v>
      </c>
      <c r="BI5">
        <v>3</v>
      </c>
      <c r="BK5">
        <v>34.950000000000003</v>
      </c>
      <c r="BL5">
        <v>9.4253142030919808</v>
      </c>
      <c r="BM5">
        <v>2</v>
      </c>
      <c r="BO5">
        <v>34.950000000000003</v>
      </c>
      <c r="BP5">
        <v>9.3519074630185806</v>
      </c>
      <c r="BQ5">
        <v>1</v>
      </c>
      <c r="BS5">
        <v>34.950000000000003</v>
      </c>
      <c r="BT5">
        <v>8.8233789344900497</v>
      </c>
      <c r="BU5">
        <v>0</v>
      </c>
    </row>
    <row r="6" spans="1:73" x14ac:dyDescent="0.25">
      <c r="R6">
        <f>F12</f>
        <v>35.816131025957944</v>
      </c>
      <c r="S6">
        <v>-72</v>
      </c>
      <c r="AA6">
        <v>34.950000000000003</v>
      </c>
      <c r="AB6">
        <v>10.416305194083</v>
      </c>
      <c r="AC6">
        <v>11</v>
      </c>
      <c r="AE6">
        <v>34.950000000000003</v>
      </c>
      <c r="AF6">
        <v>10.416305194083</v>
      </c>
      <c r="AG6">
        <v>10</v>
      </c>
      <c r="AI6">
        <v>34.950000000000003</v>
      </c>
      <c r="AJ6">
        <v>10.3208764319875</v>
      </c>
      <c r="AK6">
        <v>9</v>
      </c>
      <c r="AM6">
        <v>34.950000000000003</v>
      </c>
      <c r="AN6">
        <v>10.2548103659215</v>
      </c>
      <c r="AO6">
        <v>8</v>
      </c>
      <c r="AQ6">
        <v>34.950000000000003</v>
      </c>
      <c r="AR6">
        <v>9.9832054276498692</v>
      </c>
      <c r="AS6">
        <v>7</v>
      </c>
      <c r="AU6">
        <v>34.950000000000003</v>
      </c>
      <c r="AV6">
        <v>10.0199087976866</v>
      </c>
      <c r="AW6">
        <v>6</v>
      </c>
      <c r="AY6">
        <v>35.299999999999997</v>
      </c>
      <c r="AZ6">
        <v>10.519074630185701</v>
      </c>
      <c r="BA6">
        <v>5</v>
      </c>
      <c r="BC6">
        <v>35.299999999999997</v>
      </c>
      <c r="BD6">
        <v>10.453008564119701</v>
      </c>
      <c r="BE6">
        <v>4</v>
      </c>
      <c r="BG6">
        <v>35.299999999999997</v>
      </c>
      <c r="BH6">
        <v>10.519074630185701</v>
      </c>
      <c r="BI6">
        <v>3</v>
      </c>
      <c r="BK6">
        <v>35.299999999999997</v>
      </c>
      <c r="BL6">
        <v>10.3869424980536</v>
      </c>
      <c r="BM6">
        <v>2</v>
      </c>
      <c r="BO6">
        <v>35.299999999999997</v>
      </c>
      <c r="BP6">
        <v>10.3502391280169</v>
      </c>
      <c r="BQ6">
        <v>1</v>
      </c>
      <c r="BS6">
        <v>35.299999999999997</v>
      </c>
      <c r="BT6">
        <v>10.2548103659215</v>
      </c>
      <c r="BU6">
        <v>0</v>
      </c>
    </row>
    <row r="7" spans="1:73" x14ac:dyDescent="0.25">
      <c r="R7">
        <f>F25</f>
        <v>35.803368907295287</v>
      </c>
      <c r="S7">
        <v>-63</v>
      </c>
      <c r="AA7">
        <v>35.299999999999997</v>
      </c>
      <c r="AB7">
        <v>10.519074630185701</v>
      </c>
      <c r="AC7">
        <v>11</v>
      </c>
      <c r="AE7">
        <v>35.299999999999997</v>
      </c>
      <c r="AF7">
        <v>10.6145033922812</v>
      </c>
      <c r="AG7">
        <v>10</v>
      </c>
      <c r="AI7">
        <v>35.299999999999997</v>
      </c>
      <c r="AJ7">
        <v>10.5851406962518</v>
      </c>
      <c r="AK7">
        <v>9</v>
      </c>
      <c r="AM7">
        <v>35.299999999999997</v>
      </c>
      <c r="AN7">
        <v>10.482371260149</v>
      </c>
      <c r="AO7">
        <v>8</v>
      </c>
      <c r="AQ7">
        <v>35.299999999999997</v>
      </c>
      <c r="AR7">
        <v>10.453008564119701</v>
      </c>
      <c r="AS7">
        <v>7</v>
      </c>
      <c r="AU7">
        <v>35.299999999999997</v>
      </c>
      <c r="AV7">
        <v>10.519074630185701</v>
      </c>
      <c r="AW7">
        <v>6</v>
      </c>
      <c r="AY7">
        <v>35.65</v>
      </c>
      <c r="AZ7">
        <v>10.6145033922812</v>
      </c>
      <c r="BA7">
        <v>5</v>
      </c>
      <c r="BC7">
        <v>35.65</v>
      </c>
      <c r="BD7">
        <v>10.5851406962518</v>
      </c>
      <c r="BE7">
        <v>4</v>
      </c>
      <c r="BG7">
        <v>35.65</v>
      </c>
      <c r="BH7">
        <v>10.6145033922812</v>
      </c>
      <c r="BI7">
        <v>3</v>
      </c>
      <c r="BK7">
        <v>35.65</v>
      </c>
      <c r="BL7">
        <v>10.482371260149</v>
      </c>
      <c r="BM7">
        <v>2</v>
      </c>
      <c r="BO7">
        <v>35.65</v>
      </c>
      <c r="BP7">
        <v>10.453008564119701</v>
      </c>
      <c r="BQ7">
        <v>1</v>
      </c>
      <c r="BS7">
        <v>35.65</v>
      </c>
      <c r="BT7">
        <v>10.416305194083</v>
      </c>
      <c r="BU7">
        <v>0</v>
      </c>
    </row>
    <row r="8" spans="1:73" x14ac:dyDescent="0.25">
      <c r="R8">
        <f>F38</f>
        <v>35.886105371900804</v>
      </c>
      <c r="S8">
        <v>-54</v>
      </c>
      <c r="AA8">
        <v>35.65</v>
      </c>
      <c r="AB8">
        <v>10.548437326215099</v>
      </c>
      <c r="AC8">
        <v>11</v>
      </c>
      <c r="AE8">
        <v>35.65</v>
      </c>
      <c r="AF8">
        <v>10.6145033922812</v>
      </c>
      <c r="AG8">
        <v>10</v>
      </c>
      <c r="AI8">
        <v>35.65</v>
      </c>
      <c r="AJ8">
        <v>10.6145033922812</v>
      </c>
      <c r="AK8">
        <v>9</v>
      </c>
      <c r="AM8">
        <v>35.65</v>
      </c>
      <c r="AN8">
        <v>10.5851406962518</v>
      </c>
      <c r="AO8">
        <v>8</v>
      </c>
      <c r="AQ8">
        <v>35.65</v>
      </c>
      <c r="AR8">
        <v>10.548437326215099</v>
      </c>
      <c r="AS8">
        <v>7</v>
      </c>
      <c r="AU8">
        <v>35.65</v>
      </c>
      <c r="AV8">
        <v>10.6145033922812</v>
      </c>
      <c r="AW8">
        <v>6</v>
      </c>
      <c r="AY8">
        <v>36</v>
      </c>
      <c r="AZ8">
        <v>10.548437326215099</v>
      </c>
      <c r="BA8">
        <v>5</v>
      </c>
      <c r="BC8">
        <v>36</v>
      </c>
      <c r="BD8">
        <v>10.519074630185701</v>
      </c>
      <c r="BE8">
        <v>4</v>
      </c>
      <c r="BG8">
        <v>36</v>
      </c>
      <c r="BH8">
        <v>10.548437326215099</v>
      </c>
      <c r="BI8">
        <v>3</v>
      </c>
      <c r="BK8">
        <v>36</v>
      </c>
      <c r="BL8">
        <v>10.548437326215099</v>
      </c>
      <c r="BM8">
        <v>2</v>
      </c>
      <c r="BO8">
        <v>36</v>
      </c>
      <c r="BP8">
        <v>10.6145033922812</v>
      </c>
      <c r="BQ8">
        <v>1</v>
      </c>
      <c r="BS8">
        <v>36</v>
      </c>
      <c r="BT8">
        <v>10.453008564119701</v>
      </c>
      <c r="BU8">
        <v>0</v>
      </c>
    </row>
    <row r="9" spans="1:73" x14ac:dyDescent="0.25">
      <c r="R9">
        <f>J12</f>
        <v>35.799881822088501</v>
      </c>
      <c r="S9">
        <v>-45</v>
      </c>
      <c r="AA9">
        <v>36</v>
      </c>
      <c r="AB9">
        <v>10.482371260149</v>
      </c>
      <c r="AC9">
        <v>11</v>
      </c>
      <c r="AE9">
        <v>36</v>
      </c>
      <c r="AF9">
        <v>10.482371260149</v>
      </c>
      <c r="AG9">
        <v>10</v>
      </c>
      <c r="AI9">
        <v>36</v>
      </c>
      <c r="AJ9">
        <v>10.482371260149</v>
      </c>
      <c r="AK9">
        <v>9</v>
      </c>
      <c r="AM9">
        <v>36</v>
      </c>
      <c r="AN9">
        <v>10.548437326215099</v>
      </c>
      <c r="AO9">
        <v>8</v>
      </c>
      <c r="AQ9">
        <v>36</v>
      </c>
      <c r="AR9">
        <v>10.482371260149</v>
      </c>
      <c r="AS9">
        <v>7</v>
      </c>
      <c r="AU9">
        <v>36</v>
      </c>
      <c r="AV9">
        <v>10.5851406962518</v>
      </c>
      <c r="AW9">
        <v>6</v>
      </c>
      <c r="AY9">
        <v>36.35</v>
      </c>
      <c r="AZ9">
        <v>10.548437326215099</v>
      </c>
      <c r="BA9">
        <v>5</v>
      </c>
      <c r="BC9">
        <v>36.35</v>
      </c>
      <c r="BD9">
        <v>10.5851406962518</v>
      </c>
      <c r="BE9">
        <v>4</v>
      </c>
      <c r="BG9">
        <v>36.35</v>
      </c>
      <c r="BH9">
        <v>10.453008564119701</v>
      </c>
      <c r="BI9">
        <v>3</v>
      </c>
      <c r="BK9">
        <v>36.35</v>
      </c>
      <c r="BL9">
        <v>10.453008564119701</v>
      </c>
      <c r="BM9">
        <v>2</v>
      </c>
      <c r="BO9">
        <v>36.35</v>
      </c>
      <c r="BP9">
        <v>10.482371260149</v>
      </c>
      <c r="BQ9">
        <v>1</v>
      </c>
      <c r="BS9">
        <v>36.35</v>
      </c>
      <c r="BT9">
        <v>10.453008564119701</v>
      </c>
      <c r="BU9">
        <v>0</v>
      </c>
    </row>
    <row r="10" spans="1:73" x14ac:dyDescent="0.25">
      <c r="R10">
        <f>J25</f>
        <v>35.900780836421362</v>
      </c>
      <c r="S10">
        <v>-36</v>
      </c>
      <c r="AA10">
        <v>36.35</v>
      </c>
      <c r="AB10">
        <v>10.3502391280169</v>
      </c>
      <c r="AC10">
        <v>11</v>
      </c>
      <c r="AE10">
        <v>36.35</v>
      </c>
      <c r="AF10">
        <v>10.3869424980536</v>
      </c>
      <c r="AG10">
        <v>10</v>
      </c>
      <c r="AI10">
        <v>36.35</v>
      </c>
      <c r="AJ10">
        <v>10.3502391280169</v>
      </c>
      <c r="AK10">
        <v>9</v>
      </c>
      <c r="AM10">
        <v>36.35</v>
      </c>
      <c r="AN10">
        <v>10.416305194083</v>
      </c>
      <c r="AO10">
        <v>8</v>
      </c>
      <c r="AQ10">
        <v>36.35</v>
      </c>
      <c r="AR10">
        <v>10.3502391280169</v>
      </c>
      <c r="AS10">
        <v>7</v>
      </c>
      <c r="AU10">
        <v>36.35</v>
      </c>
      <c r="AV10">
        <v>10.453008564119701</v>
      </c>
      <c r="AW10">
        <v>6</v>
      </c>
      <c r="AY10">
        <v>36.700000000000003</v>
      </c>
      <c r="AZ10">
        <v>10.1814036258481</v>
      </c>
      <c r="BA10">
        <v>5</v>
      </c>
      <c r="BC10">
        <v>36.700000000000003</v>
      </c>
      <c r="BD10">
        <v>10.3869424980536</v>
      </c>
      <c r="BE10">
        <v>4</v>
      </c>
      <c r="BG10">
        <v>36.700000000000003</v>
      </c>
      <c r="BH10">
        <v>10.284173061950799</v>
      </c>
      <c r="BI10">
        <v>3</v>
      </c>
      <c r="BK10">
        <v>36.700000000000003</v>
      </c>
      <c r="BL10">
        <v>10.3502391280169</v>
      </c>
      <c r="BM10">
        <v>2</v>
      </c>
      <c r="BO10">
        <v>36.700000000000003</v>
      </c>
      <c r="BP10">
        <v>10.3208764319875</v>
      </c>
      <c r="BQ10">
        <v>1</v>
      </c>
      <c r="BS10">
        <v>36.700000000000003</v>
      </c>
      <c r="BT10">
        <v>10.3502391280169</v>
      </c>
      <c r="BU10">
        <v>0</v>
      </c>
    </row>
    <row r="11" spans="1:73" x14ac:dyDescent="0.25">
      <c r="B11">
        <f>INDEX(LINEST([0]!y_s5_c12,[0]!x_s5_c12^{1,2}),1)</f>
        <v>-1.3275990600253831</v>
      </c>
      <c r="C11">
        <f>INDEX(LINEST([0]!y_s5_c12,[0]!x_s5_c12^{1,2}),1,2)</f>
        <v>94.213627297528816</v>
      </c>
      <c r="F11">
        <f>INDEX(LINEST([0]!y_s5_c9,[0]!x_s5_c9^{1,2}),1)</f>
        <v>-1.1542478662660007</v>
      </c>
      <c r="G11">
        <f>INDEX(LINEST([0]!y_s5_c9,[0]!x_s5_c9^{1,2}),1,2)</f>
        <v>82.681385629230931</v>
      </c>
      <c r="J11">
        <f>INDEX(LINEST([0]!y_s5_c6,[0]!x_s5_c6^{1,2}),1)</f>
        <v>-1.6600338595802702</v>
      </c>
      <c r="K11">
        <f>INDEX(LINEST([0]!y_s5_c6,[0]!x_s5_c6^{1,2}),1,2)</f>
        <v>118.85803198727827</v>
      </c>
      <c r="N11">
        <f>INDEX(LINEST([0]!y_s5_c3,[0]!x_s5_c3^{1,2}),1)</f>
        <v>-1.1264260697366471</v>
      </c>
      <c r="O11">
        <f>INDEX(LINEST([0]!y_s5_c3,[0]!x_s5_c3^{1,2}),1,2)</f>
        <v>81.040506006486595</v>
      </c>
      <c r="R11">
        <f>J38</f>
        <v>35.904839091339305</v>
      </c>
      <c r="S11">
        <v>-27</v>
      </c>
      <c r="AA11">
        <v>36.700000000000003</v>
      </c>
      <c r="AB11">
        <v>8.4563452341230096</v>
      </c>
      <c r="AC11">
        <v>11</v>
      </c>
      <c r="AE11">
        <v>36.700000000000003</v>
      </c>
      <c r="AF11">
        <v>9.5207429651874094</v>
      </c>
      <c r="AG11">
        <v>10</v>
      </c>
      <c r="AI11">
        <v>36.700000000000003</v>
      </c>
      <c r="AJ11">
        <v>9.49138026915805</v>
      </c>
      <c r="AK11">
        <v>9</v>
      </c>
      <c r="AM11">
        <v>36.700000000000003</v>
      </c>
      <c r="AN11">
        <v>9.9171393615838106</v>
      </c>
      <c r="AO11">
        <v>8</v>
      </c>
      <c r="AQ11">
        <v>36.700000000000003</v>
      </c>
      <c r="AR11">
        <v>9.1904126348570792</v>
      </c>
      <c r="AS11">
        <v>7</v>
      </c>
      <c r="AU11">
        <v>36.700000000000003</v>
      </c>
      <c r="AV11">
        <v>9.8877766655544495</v>
      </c>
      <c r="AW11">
        <v>6</v>
      </c>
      <c r="AY11">
        <v>37.049999999999997</v>
      </c>
      <c r="AZ11">
        <v>7.8984540095651203</v>
      </c>
      <c r="BA11">
        <v>5</v>
      </c>
      <c r="BC11">
        <v>37.049999999999997</v>
      </c>
      <c r="BD11">
        <v>8.7573128684239805</v>
      </c>
      <c r="BE11">
        <v>4</v>
      </c>
      <c r="BG11">
        <v>37.049999999999997</v>
      </c>
      <c r="BH11">
        <v>8.6251807362918491</v>
      </c>
      <c r="BI11">
        <v>3</v>
      </c>
      <c r="BK11">
        <v>37.049999999999997</v>
      </c>
      <c r="BL11">
        <v>9.2564787009231502</v>
      </c>
      <c r="BM11">
        <v>2</v>
      </c>
      <c r="BO11">
        <v>37.049999999999997</v>
      </c>
      <c r="BP11">
        <v>9.5868090312534804</v>
      </c>
      <c r="BQ11">
        <v>1</v>
      </c>
      <c r="BS11">
        <v>37.049999999999997</v>
      </c>
      <c r="BT11">
        <v>9.9538427316205098</v>
      </c>
      <c r="BU11">
        <v>0</v>
      </c>
    </row>
    <row r="12" spans="1:73" x14ac:dyDescent="0.25">
      <c r="A12" t="s">
        <v>0</v>
      </c>
      <c r="B12">
        <f>-C11/(2*B11)</f>
        <v>35.482710908113887</v>
      </c>
      <c r="E12" t="s">
        <v>0</v>
      </c>
      <c r="F12">
        <f>-G11/(2*F11)</f>
        <v>35.816131025957944</v>
      </c>
      <c r="I12" t="s">
        <v>1</v>
      </c>
      <c r="J12">
        <f>-K11/(2*J11)</f>
        <v>35.799881822088501</v>
      </c>
      <c r="M12" t="s">
        <v>1</v>
      </c>
      <c r="N12">
        <f>-O11/(2*N11)</f>
        <v>35.972403419885993</v>
      </c>
      <c r="R12">
        <f>N12</f>
        <v>35.972403419885993</v>
      </c>
      <c r="S12">
        <v>-18</v>
      </c>
    </row>
    <row r="13" spans="1:73" x14ac:dyDescent="0.25">
      <c r="R13">
        <f>N25</f>
        <v>36.033541666666643</v>
      </c>
      <c r="S13">
        <v>-9</v>
      </c>
    </row>
    <row r="14" spans="1:73" x14ac:dyDescent="0.25">
      <c r="R14">
        <f>N38</f>
        <v>36.180365853658529</v>
      </c>
      <c r="S14">
        <v>0</v>
      </c>
    </row>
    <row r="17" spans="1:23" x14ac:dyDescent="0.25">
      <c r="R17" t="s">
        <v>4</v>
      </c>
      <c r="S17">
        <f>SLOPE(R3:R14,S3:S14)</f>
        <v>5.5473705894303104E-3</v>
      </c>
      <c r="U17" t="s">
        <v>16</v>
      </c>
      <c r="V17">
        <f>(180 * ATAN(S17) / PI())</f>
        <v>0.31783766188937013</v>
      </c>
      <c r="W17" t="s">
        <v>6</v>
      </c>
    </row>
    <row r="18" spans="1:23" x14ac:dyDescent="0.25">
      <c r="R18" t="s">
        <v>5</v>
      </c>
      <c r="S18">
        <f>INTERCEPT(R3:R14,S3:S14)</f>
        <v>36.113004946840654</v>
      </c>
    </row>
    <row r="24" spans="1:23" x14ac:dyDescent="0.25">
      <c r="B24">
        <f>INDEX(LINEST([0]!y_s5_c11,[0]!x_s5_c11^{1,2}),1)</f>
        <v>-0.89600452412247389</v>
      </c>
      <c r="C24">
        <f>INDEX(LINEST([0]!y_s5_c11,[0]!x_s5_c11^{1,2}),1,2)</f>
        <v>63.78475008860746</v>
      </c>
      <c r="F24">
        <f>INDEX(LINEST([0]!y_s5_c8,[0]!x_s5_c8^{1,2}),1)</f>
        <v>-2.2392979309079397</v>
      </c>
      <c r="G24">
        <f>INDEX(LINEST([0]!y_s5_c8,[0]!x_s5_c8^{1,2}),1,2)</f>
        <v>160.34881982727998</v>
      </c>
      <c r="J24">
        <f>INDEX(LINEST([0]!y_s5_c5,[0]!x_s5_c5^{1,2}),1)</f>
        <v>-1.3475736831745002</v>
      </c>
      <c r="K24">
        <f>INDEX(LINEST([0]!y_s5_c5,[0]!x_s5_c5^{1,2}),1,2)</f>
        <v>96.757894921153692</v>
      </c>
      <c r="N24">
        <f>INDEX(LINEST([0]!y_s5_c2,[0]!x_s5_c2^{1,2}),1)</f>
        <v>-1.0272663333887049</v>
      </c>
      <c r="O24">
        <f>INDEX(LINEST([0]!y_s5_c2,[0]!x_s5_c2^{1,2}),1,2)</f>
        <v>74.032088453851529</v>
      </c>
    </row>
    <row r="25" spans="1:23" x14ac:dyDescent="0.25">
      <c r="A25" t="s">
        <v>0</v>
      </c>
      <c r="B25">
        <f>-C24/(2*B24)</f>
        <v>35.593988853503149</v>
      </c>
      <c r="E25" t="s">
        <v>0</v>
      </c>
      <c r="F25">
        <f>-G24/(2*F24)</f>
        <v>35.803368907295287</v>
      </c>
      <c r="I25" t="s">
        <v>0</v>
      </c>
      <c r="J25">
        <f>-K24/(2*J24)</f>
        <v>35.900780836421362</v>
      </c>
      <c r="M25" t="s">
        <v>0</v>
      </c>
      <c r="N25">
        <f>-O24/(2*N24)</f>
        <v>36.033541666666643</v>
      </c>
    </row>
    <row r="37" spans="1:15" x14ac:dyDescent="0.25">
      <c r="B37">
        <f>INDEX(LINEST([0]!y_s5_c10,[0]!x_s5_c10^{1,2}),1)</f>
        <v>-1.1906302155735526</v>
      </c>
      <c r="C37">
        <f>INDEX(LINEST([0]!y_s5_c10,[0]!x_s5_c10^{1,2}),1,2)</f>
        <v>84.979573029461491</v>
      </c>
      <c r="F37">
        <f>INDEX(LINEST([0]!y_s5_c7,[0]!x_s5_c7^{1,2}),1)</f>
        <v>-2.0716537723340638</v>
      </c>
      <c r="G37">
        <f>INDEX(LINEST([0]!y_s5_c7,[0]!x_s5_c7^{1,2}),1,2)</f>
        <v>148.68717113615202</v>
      </c>
      <c r="J37">
        <f>INDEX(LINEST([0]!y_s5_c4,[0]!x_s5_c4^{1,2}),1)</f>
        <v>-1.5073706683683246</v>
      </c>
      <c r="K37">
        <f>INDEX(LINEST([0]!y_s5_c4,[0]!x_s5_c4^{1,2}),1,2)</f>
        <v>108.24380259753855</v>
      </c>
      <c r="N37">
        <f>INDEX(LINEST([0]!y_s5_c1,[0]!x_s5_c1^{1,2}),1)</f>
        <v>-1.0236994363977889</v>
      </c>
      <c r="O37">
        <f>INDEX(LINEST([0]!y_s5_c1,[0]!x_s5_c1^{1,2}),1,2)</f>
        <v>74.075640266112089</v>
      </c>
    </row>
    <row r="38" spans="1:15" x14ac:dyDescent="0.25">
      <c r="A38" t="s">
        <v>1</v>
      </c>
      <c r="B38">
        <f>-C37/(2*B37)</f>
        <v>35.686803475134795</v>
      </c>
      <c r="E38" t="s">
        <v>1</v>
      </c>
      <c r="F38">
        <f>-G37/(2*F37)</f>
        <v>35.886105371900804</v>
      </c>
      <c r="I38" t="s">
        <v>0</v>
      </c>
      <c r="J38">
        <f>-K37/(2*J37)</f>
        <v>35.904839091339305</v>
      </c>
      <c r="M38" t="s">
        <v>0</v>
      </c>
      <c r="N38">
        <f>-O37/(2*N37)</f>
        <v>36.180365853658529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5</v>
      </c>
      <c r="AC2">
        <v>11</v>
      </c>
      <c r="AE2" t="s">
        <v>12</v>
      </c>
      <c r="AF2">
        <v>5</v>
      </c>
      <c r="AG2">
        <v>10</v>
      </c>
      <c r="AI2" t="s">
        <v>12</v>
      </c>
      <c r="AJ2">
        <v>5</v>
      </c>
      <c r="AK2">
        <v>9</v>
      </c>
      <c r="AM2" t="s">
        <v>12</v>
      </c>
      <c r="AN2">
        <v>5</v>
      </c>
      <c r="AO2">
        <v>8</v>
      </c>
      <c r="AQ2" t="s">
        <v>12</v>
      </c>
      <c r="AR2">
        <v>5</v>
      </c>
      <c r="AS2">
        <v>7</v>
      </c>
      <c r="AU2" t="s">
        <v>12</v>
      </c>
      <c r="AV2">
        <v>5</v>
      </c>
      <c r="AW2">
        <v>6</v>
      </c>
      <c r="AY2" t="s">
        <v>12</v>
      </c>
      <c r="AZ2">
        <v>5</v>
      </c>
      <c r="BA2">
        <v>5</v>
      </c>
      <c r="BC2" t="s">
        <v>12</v>
      </c>
      <c r="BD2">
        <v>5</v>
      </c>
      <c r="BE2">
        <v>4</v>
      </c>
      <c r="BG2" t="s">
        <v>12</v>
      </c>
      <c r="BH2">
        <v>5</v>
      </c>
      <c r="BI2">
        <v>3</v>
      </c>
      <c r="BK2" t="s">
        <v>12</v>
      </c>
      <c r="BL2">
        <v>5</v>
      </c>
      <c r="BM2">
        <v>2</v>
      </c>
      <c r="BO2" t="s">
        <v>12</v>
      </c>
      <c r="BP2">
        <v>5</v>
      </c>
      <c r="BQ2">
        <v>1</v>
      </c>
      <c r="BS2" t="s">
        <v>12</v>
      </c>
      <c r="BT2">
        <v>5</v>
      </c>
      <c r="BU2">
        <v>0</v>
      </c>
    </row>
    <row r="3" spans="1:73" x14ac:dyDescent="0.25">
      <c r="R3">
        <f>B12</f>
        <v>44.502326203208575</v>
      </c>
      <c r="S3">
        <v>-99</v>
      </c>
    </row>
    <row r="4" spans="1:73" x14ac:dyDescent="0.25">
      <c r="R4">
        <f>B25</f>
        <v>44.485299833425891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44.544766796224323</v>
      </c>
      <c r="S5">
        <v>-81</v>
      </c>
      <c r="AA5">
        <v>43.6</v>
      </c>
      <c r="AB5">
        <v>9.6779249448123608</v>
      </c>
      <c r="AC5">
        <v>11</v>
      </c>
      <c r="AE5">
        <v>43.6</v>
      </c>
      <c r="AF5">
        <v>9.7434878587196394</v>
      </c>
      <c r="AG5">
        <v>10</v>
      </c>
      <c r="AI5">
        <v>43.6</v>
      </c>
      <c r="AJ5">
        <v>9.5103752759381894</v>
      </c>
      <c r="AK5">
        <v>9</v>
      </c>
      <c r="AM5">
        <v>43.6</v>
      </c>
      <c r="AN5">
        <v>9.2116997792494502</v>
      </c>
      <c r="AO5">
        <v>8</v>
      </c>
      <c r="AQ5">
        <v>43.6</v>
      </c>
      <c r="AR5">
        <v>8.5560706401765998</v>
      </c>
      <c r="AS5">
        <v>7</v>
      </c>
      <c r="AU5">
        <v>43.6</v>
      </c>
      <c r="AV5">
        <v>8.4249448123620301</v>
      </c>
      <c r="AW5">
        <v>6</v>
      </c>
      <c r="AY5">
        <v>43.6</v>
      </c>
      <c r="AZ5">
        <v>8.5269315673289192</v>
      </c>
      <c r="BA5">
        <v>5</v>
      </c>
      <c r="BC5">
        <v>43.95</v>
      </c>
      <c r="BD5">
        <v>9.7434878587196394</v>
      </c>
      <c r="BE5">
        <v>4</v>
      </c>
      <c r="BG5">
        <v>43.95</v>
      </c>
      <c r="BH5">
        <v>9.6123620309050803</v>
      </c>
      <c r="BI5">
        <v>3</v>
      </c>
      <c r="BK5">
        <v>43.95</v>
      </c>
      <c r="BL5">
        <v>9.6123620309050803</v>
      </c>
      <c r="BM5">
        <v>2</v>
      </c>
      <c r="BO5">
        <v>43.95</v>
      </c>
      <c r="BP5">
        <v>9.5759381898454699</v>
      </c>
      <c r="BQ5">
        <v>1</v>
      </c>
      <c r="BS5">
        <v>43.95</v>
      </c>
      <c r="BT5">
        <v>9.1169977924944803</v>
      </c>
      <c r="BU5">
        <v>0</v>
      </c>
    </row>
    <row r="6" spans="1:73" x14ac:dyDescent="0.25">
      <c r="R6">
        <f>F12</f>
        <v>44.642671691792287</v>
      </c>
      <c r="S6">
        <v>-72</v>
      </c>
      <c r="AA6">
        <v>43.95</v>
      </c>
      <c r="AB6">
        <v>10.4355408388521</v>
      </c>
      <c r="AC6">
        <v>11</v>
      </c>
      <c r="AE6">
        <v>43.95</v>
      </c>
      <c r="AF6">
        <v>10.3991169977925</v>
      </c>
      <c r="AG6">
        <v>10</v>
      </c>
      <c r="AI6">
        <v>43.95</v>
      </c>
      <c r="AJ6">
        <v>10.2388520971302</v>
      </c>
      <c r="AK6">
        <v>9</v>
      </c>
      <c r="AM6">
        <v>43.95</v>
      </c>
      <c r="AN6">
        <v>10.202428256070601</v>
      </c>
      <c r="AO6">
        <v>8</v>
      </c>
      <c r="AQ6">
        <v>43.95</v>
      </c>
      <c r="AR6">
        <v>10.0348785871965</v>
      </c>
      <c r="AS6">
        <v>7</v>
      </c>
      <c r="AU6">
        <v>43.95</v>
      </c>
      <c r="AV6">
        <v>10.0057395143488</v>
      </c>
      <c r="AW6">
        <v>6</v>
      </c>
      <c r="AY6">
        <v>43.95</v>
      </c>
      <c r="AZ6">
        <v>10.0057395143488</v>
      </c>
      <c r="BA6">
        <v>5</v>
      </c>
      <c r="BC6">
        <v>44.3</v>
      </c>
      <c r="BD6">
        <v>10.3991169977925</v>
      </c>
      <c r="BE6">
        <v>4</v>
      </c>
      <c r="BG6">
        <v>44.3</v>
      </c>
      <c r="BH6">
        <v>10.3044150110375</v>
      </c>
      <c r="BI6">
        <v>3</v>
      </c>
      <c r="BK6">
        <v>44.3</v>
      </c>
      <c r="BL6">
        <v>10.2388520971302</v>
      </c>
      <c r="BM6">
        <v>2</v>
      </c>
      <c r="BO6">
        <v>44.3</v>
      </c>
      <c r="BP6">
        <v>10.2388520971302</v>
      </c>
      <c r="BQ6">
        <v>1</v>
      </c>
      <c r="BS6">
        <v>44.3</v>
      </c>
      <c r="BT6">
        <v>10.0713024282561</v>
      </c>
      <c r="BU6">
        <v>0</v>
      </c>
    </row>
    <row r="7" spans="1:73" x14ac:dyDescent="0.25">
      <c r="R7">
        <f>F25</f>
        <v>44.691895438029903</v>
      </c>
      <c r="S7">
        <v>-63</v>
      </c>
      <c r="AA7">
        <v>44.3</v>
      </c>
      <c r="AB7">
        <v>10.595805739514301</v>
      </c>
      <c r="AC7">
        <v>11</v>
      </c>
      <c r="AE7">
        <v>44.3</v>
      </c>
      <c r="AF7">
        <v>10.5666666666667</v>
      </c>
      <c r="AG7">
        <v>10</v>
      </c>
      <c r="AI7">
        <v>44.3</v>
      </c>
      <c r="AJ7">
        <v>10.5011037527594</v>
      </c>
      <c r="AK7">
        <v>9</v>
      </c>
      <c r="AM7">
        <v>44.3</v>
      </c>
      <c r="AN7">
        <v>10.5011037527594</v>
      </c>
      <c r="AO7">
        <v>8</v>
      </c>
      <c r="AQ7">
        <v>44.3</v>
      </c>
      <c r="AR7">
        <v>10.4646799116998</v>
      </c>
      <c r="AS7">
        <v>7</v>
      </c>
      <c r="AU7">
        <v>44.3</v>
      </c>
      <c r="AV7">
        <v>10.5302428256071</v>
      </c>
      <c r="AW7">
        <v>6</v>
      </c>
      <c r="AY7">
        <v>44.3</v>
      </c>
      <c r="AZ7">
        <v>10.5302428256071</v>
      </c>
      <c r="BA7">
        <v>5</v>
      </c>
      <c r="BC7">
        <v>44.65</v>
      </c>
      <c r="BD7">
        <v>10.5302428256071</v>
      </c>
      <c r="BE7">
        <v>4</v>
      </c>
      <c r="BG7">
        <v>44.65</v>
      </c>
      <c r="BH7">
        <v>10.5011037527594</v>
      </c>
      <c r="BI7">
        <v>3</v>
      </c>
      <c r="BK7">
        <v>44.65</v>
      </c>
      <c r="BL7">
        <v>10.4355408388521</v>
      </c>
      <c r="BM7">
        <v>2</v>
      </c>
      <c r="BO7">
        <v>44.65</v>
      </c>
      <c r="BP7">
        <v>10.4646799116998</v>
      </c>
      <c r="BQ7">
        <v>1</v>
      </c>
      <c r="BS7">
        <v>44.65</v>
      </c>
      <c r="BT7">
        <v>10.3699779249448</v>
      </c>
      <c r="BU7">
        <v>0</v>
      </c>
    </row>
    <row r="8" spans="1:73" x14ac:dyDescent="0.25">
      <c r="R8">
        <f>F38</f>
        <v>44.74080829756798</v>
      </c>
      <c r="S8">
        <v>-54</v>
      </c>
      <c r="AA8">
        <v>44.65</v>
      </c>
      <c r="AB8">
        <v>10.5666666666667</v>
      </c>
      <c r="AC8">
        <v>11</v>
      </c>
      <c r="AE8">
        <v>44.65</v>
      </c>
      <c r="AF8">
        <v>10.5302428256071</v>
      </c>
      <c r="AG8">
        <v>10</v>
      </c>
      <c r="AI8">
        <v>44.65</v>
      </c>
      <c r="AJ8">
        <v>10.5011037527594</v>
      </c>
      <c r="AK8">
        <v>9</v>
      </c>
      <c r="AM8">
        <v>44.65</v>
      </c>
      <c r="AN8">
        <v>10.5302428256071</v>
      </c>
      <c r="AO8">
        <v>8</v>
      </c>
      <c r="AQ8">
        <v>44.65</v>
      </c>
      <c r="AR8">
        <v>10.5302428256071</v>
      </c>
      <c r="AS8">
        <v>7</v>
      </c>
      <c r="AU8">
        <v>44.65</v>
      </c>
      <c r="AV8">
        <v>10.632229580573901</v>
      </c>
      <c r="AW8">
        <v>6</v>
      </c>
      <c r="AY8">
        <v>44.65</v>
      </c>
      <c r="AZ8">
        <v>10.632229580573901</v>
      </c>
      <c r="BA8">
        <v>5</v>
      </c>
      <c r="BC8">
        <v>45</v>
      </c>
      <c r="BD8">
        <v>10.5011037527594</v>
      </c>
      <c r="BE8">
        <v>4</v>
      </c>
      <c r="BG8">
        <v>45</v>
      </c>
      <c r="BH8">
        <v>10.4646799116998</v>
      </c>
      <c r="BI8">
        <v>3</v>
      </c>
      <c r="BK8">
        <v>45</v>
      </c>
      <c r="BL8">
        <v>10.4355408388521</v>
      </c>
      <c r="BM8">
        <v>2</v>
      </c>
      <c r="BO8">
        <v>45</v>
      </c>
      <c r="BP8">
        <v>10.4646799116998</v>
      </c>
      <c r="BQ8">
        <v>1</v>
      </c>
      <c r="BS8">
        <v>45</v>
      </c>
      <c r="BT8">
        <v>10.3699779249448</v>
      </c>
      <c r="BU8">
        <v>0</v>
      </c>
    </row>
    <row r="9" spans="1:73" x14ac:dyDescent="0.25">
      <c r="R9">
        <f>J12</f>
        <v>44.76723451327436</v>
      </c>
      <c r="S9">
        <v>-45</v>
      </c>
      <c r="AA9">
        <v>45</v>
      </c>
      <c r="AB9">
        <v>10.4646799116998</v>
      </c>
      <c r="AC9">
        <v>11</v>
      </c>
      <c r="AE9">
        <v>45</v>
      </c>
      <c r="AF9">
        <v>10.4355408388521</v>
      </c>
      <c r="AG9">
        <v>10</v>
      </c>
      <c r="AI9">
        <v>45</v>
      </c>
      <c r="AJ9">
        <v>10.3699779249448</v>
      </c>
      <c r="AK9">
        <v>9</v>
      </c>
      <c r="AM9">
        <v>45</v>
      </c>
      <c r="AN9">
        <v>10.4646799116998</v>
      </c>
      <c r="AO9">
        <v>8</v>
      </c>
      <c r="AQ9">
        <v>45</v>
      </c>
      <c r="AR9">
        <v>10.4355408388521</v>
      </c>
      <c r="AS9">
        <v>7</v>
      </c>
      <c r="AU9">
        <v>45</v>
      </c>
      <c r="AV9">
        <v>10.5666666666667</v>
      </c>
      <c r="AW9">
        <v>6</v>
      </c>
      <c r="AY9">
        <v>45</v>
      </c>
      <c r="AZ9">
        <v>10.5666666666667</v>
      </c>
      <c r="BA9">
        <v>5</v>
      </c>
      <c r="BC9">
        <v>45.35</v>
      </c>
      <c r="BD9">
        <v>10.3044150110375</v>
      </c>
      <c r="BE9">
        <v>4</v>
      </c>
      <c r="BG9">
        <v>45.35</v>
      </c>
      <c r="BH9">
        <v>10.3044150110375</v>
      </c>
      <c r="BI9">
        <v>3</v>
      </c>
      <c r="BK9">
        <v>45.35</v>
      </c>
      <c r="BL9">
        <v>10.267991169977901</v>
      </c>
      <c r="BM9">
        <v>2</v>
      </c>
      <c r="BO9">
        <v>45.35</v>
      </c>
      <c r="BP9">
        <v>10.3699779249448</v>
      </c>
      <c r="BQ9">
        <v>1</v>
      </c>
      <c r="BS9">
        <v>45.35</v>
      </c>
      <c r="BT9">
        <v>10.267991169977901</v>
      </c>
      <c r="BU9">
        <v>0</v>
      </c>
    </row>
    <row r="10" spans="1:73" x14ac:dyDescent="0.25">
      <c r="R10">
        <f>J25</f>
        <v>44.779400795624063</v>
      </c>
      <c r="S10">
        <v>-36</v>
      </c>
      <c r="AA10">
        <v>45.35</v>
      </c>
      <c r="AB10">
        <v>10.0713024282561</v>
      </c>
      <c r="AC10">
        <v>11</v>
      </c>
      <c r="AE10">
        <v>45.35</v>
      </c>
      <c r="AF10">
        <v>10.0348785871965</v>
      </c>
      <c r="AG10">
        <v>10</v>
      </c>
      <c r="AI10">
        <v>45.35</v>
      </c>
      <c r="AJ10">
        <v>10.0713024282561</v>
      </c>
      <c r="AK10">
        <v>9</v>
      </c>
      <c r="AM10">
        <v>45.35</v>
      </c>
      <c r="AN10">
        <v>10.173289183223</v>
      </c>
      <c r="AO10">
        <v>8</v>
      </c>
      <c r="AQ10">
        <v>45.35</v>
      </c>
      <c r="AR10">
        <v>10.173289183223</v>
      </c>
      <c r="AS10">
        <v>7</v>
      </c>
      <c r="AU10">
        <v>45.35</v>
      </c>
      <c r="AV10">
        <v>10.267991169977901</v>
      </c>
      <c r="AW10">
        <v>6</v>
      </c>
      <c r="AY10">
        <v>45.35</v>
      </c>
      <c r="AZ10">
        <v>10.3335540838852</v>
      </c>
      <c r="BA10">
        <v>5</v>
      </c>
      <c r="BC10">
        <v>45.7</v>
      </c>
      <c r="BD10">
        <v>9.7070640176600396</v>
      </c>
      <c r="BE10">
        <v>4</v>
      </c>
      <c r="BG10">
        <v>45.7</v>
      </c>
      <c r="BH10">
        <v>9.7726269315673306</v>
      </c>
      <c r="BI10">
        <v>3</v>
      </c>
      <c r="BK10">
        <v>45.7</v>
      </c>
      <c r="BL10">
        <v>9.6415011037527591</v>
      </c>
      <c r="BM10">
        <v>2</v>
      </c>
      <c r="BO10">
        <v>45.7</v>
      </c>
      <c r="BP10">
        <v>9.9401766004415002</v>
      </c>
      <c r="BQ10">
        <v>1</v>
      </c>
      <c r="BS10">
        <v>45.7</v>
      </c>
      <c r="BT10">
        <v>9.9037527593819004</v>
      </c>
      <c r="BU10">
        <v>0</v>
      </c>
    </row>
    <row r="11" spans="1:73" x14ac:dyDescent="0.25">
      <c r="B11">
        <f>INDEX(LINEST([0]!y_s6_c12,[0]!x_s6_c12^{1,2}),1)</f>
        <v>-1.3238597236436576</v>
      </c>
      <c r="C11">
        <f>INDEX(LINEST([0]!y_s6_c12,[0]!x_s6_c12^{1,2}),1,2)</f>
        <v>117.8296745377592</v>
      </c>
      <c r="F11">
        <f>INDEX(LINEST([0]!y_s6_c9,[0]!x_s6_c9^{1,2}),1)</f>
        <v>-1.2679319599175385</v>
      </c>
      <c r="G11">
        <f>INDEX(LINEST([0]!y_s6_c9,[0]!x_s6_c9^{1,2}),1,2)</f>
        <v>113.20774042825882</v>
      </c>
      <c r="J11">
        <f>INDEX(LINEST([0]!y_s6_c6,[0]!x_s6_c6^{1,2}),1)</f>
        <v>-1.5999588103926161</v>
      </c>
      <c r="K11">
        <f>INDEX(LINEST([0]!y_s6_c6,[0]!x_s6_c6^{1,2}),1,2)</f>
        <v>143.25146255285142</v>
      </c>
      <c r="N11">
        <f>INDEX(LINEST([0]!y_s6_c3,[0]!x_s6_c3^{1,2}),1)</f>
        <v>-1.4555377496314494</v>
      </c>
      <c r="O11">
        <f>INDEX(LINEST([0]!y_s6_c3,[0]!x_s6_c3^{1,2}),1,2)</f>
        <v>130.41561600987683</v>
      </c>
      <c r="R11">
        <f>J38</f>
        <v>44.811466892218462</v>
      </c>
      <c r="S11">
        <v>-27</v>
      </c>
      <c r="AA11">
        <v>45.7</v>
      </c>
      <c r="AB11">
        <v>8.6871964679911695</v>
      </c>
      <c r="AC11">
        <v>11</v>
      </c>
      <c r="AE11">
        <v>45.7</v>
      </c>
      <c r="AF11">
        <v>8.6580573951434907</v>
      </c>
      <c r="AG11">
        <v>10</v>
      </c>
      <c r="AI11">
        <v>45.7</v>
      </c>
      <c r="AJ11">
        <v>8.7891832229580604</v>
      </c>
      <c r="AK11">
        <v>9</v>
      </c>
      <c r="AM11">
        <v>45.7</v>
      </c>
      <c r="AN11">
        <v>9.1825607064017607</v>
      </c>
      <c r="AO11">
        <v>8</v>
      </c>
      <c r="AQ11">
        <v>45.7</v>
      </c>
      <c r="AR11">
        <v>9.1461368653421609</v>
      </c>
      <c r="AS11">
        <v>7</v>
      </c>
      <c r="AU11">
        <v>45.7</v>
      </c>
      <c r="AV11">
        <v>9.3792494481236197</v>
      </c>
      <c r="AW11">
        <v>6</v>
      </c>
      <c r="AY11">
        <v>45.7</v>
      </c>
      <c r="AZ11">
        <v>9.7434878587196394</v>
      </c>
      <c r="BA11">
        <v>5</v>
      </c>
      <c r="BC11">
        <v>46.05</v>
      </c>
      <c r="BD11">
        <v>8.2282560706401693</v>
      </c>
      <c r="BE11">
        <v>4</v>
      </c>
      <c r="BG11">
        <v>46.05</v>
      </c>
      <c r="BH11">
        <v>8.2282560706401693</v>
      </c>
      <c r="BI11">
        <v>3</v>
      </c>
      <c r="BK11">
        <v>46.05</v>
      </c>
      <c r="BL11">
        <v>8.1626931567328906</v>
      </c>
      <c r="BM11">
        <v>2</v>
      </c>
      <c r="BO11">
        <v>46.05</v>
      </c>
      <c r="BP11">
        <v>8.5560706401765998</v>
      </c>
      <c r="BQ11">
        <v>1</v>
      </c>
      <c r="BS11">
        <v>46.05</v>
      </c>
      <c r="BT11">
        <v>8.6216335540838802</v>
      </c>
      <c r="BU11">
        <v>0</v>
      </c>
    </row>
    <row r="12" spans="1:73" x14ac:dyDescent="0.25">
      <c r="A12" t="s">
        <v>0</v>
      </c>
      <c r="B12">
        <f>-C11/(2*B11)</f>
        <v>44.502326203208575</v>
      </c>
      <c r="E12" t="s">
        <v>0</v>
      </c>
      <c r="F12">
        <f>-G11/(2*F11)</f>
        <v>44.642671691792287</v>
      </c>
      <c r="I12" t="s">
        <v>1</v>
      </c>
      <c r="J12">
        <f>-K11/(2*J11)</f>
        <v>44.76723451327436</v>
      </c>
      <c r="M12" t="s">
        <v>1</v>
      </c>
      <c r="N12">
        <f>-O11/(2*N11)</f>
        <v>44.79980544747081</v>
      </c>
      <c r="R12">
        <f>N12</f>
        <v>44.79980544747081</v>
      </c>
      <c r="S12">
        <v>-18</v>
      </c>
      <c r="AQ12">
        <v>46.05</v>
      </c>
      <c r="AR12">
        <v>7.3686534216335504</v>
      </c>
      <c r="AS12">
        <v>7</v>
      </c>
      <c r="AU12">
        <v>46.05</v>
      </c>
      <c r="AV12">
        <v>7.7693156732891797</v>
      </c>
      <c r="AW12">
        <v>6</v>
      </c>
      <c r="AY12">
        <v>46.05</v>
      </c>
      <c r="AZ12">
        <v>8.0315673289183191</v>
      </c>
      <c r="BA12">
        <v>5</v>
      </c>
    </row>
    <row r="13" spans="1:73" x14ac:dyDescent="0.25">
      <c r="R13">
        <f>N25</f>
        <v>44.85625996810208</v>
      </c>
      <c r="S13">
        <v>-9</v>
      </c>
    </row>
    <row r="14" spans="1:73" x14ac:dyDescent="0.25">
      <c r="R14">
        <f>N38</f>
        <v>44.931318136769079</v>
      </c>
      <c r="S14">
        <v>0</v>
      </c>
    </row>
    <row r="17" spans="1:23" x14ac:dyDescent="0.25">
      <c r="R17" t="s">
        <v>4</v>
      </c>
      <c r="S17">
        <f>SLOPE(R3:R14,S3:S14)</f>
        <v>4.2640797710164638E-3</v>
      </c>
      <c r="U17" t="s">
        <v>16</v>
      </c>
      <c r="V17">
        <f>(180 * ATAN(S17) / PI())</f>
        <v>0.24431229366751445</v>
      </c>
      <c r="W17" t="s">
        <v>6</v>
      </c>
    </row>
    <row r="18" spans="1:23" x14ac:dyDescent="0.25">
      <c r="R18" t="s">
        <v>5</v>
      </c>
      <c r="S18">
        <f>INTERCEPT(R3:R14,S3:S14)</f>
        <v>44.923843116474288</v>
      </c>
    </row>
    <row r="24" spans="1:23" x14ac:dyDescent="0.25">
      <c r="B24">
        <f>INDEX(LINEST([0]!y_s6_c11,[0]!x_s6_c11^{1,2}),1)</f>
        <v>-1.2750114236803589</v>
      </c>
      <c r="C24">
        <f>INDEX(LINEST([0]!y_s6_c11,[0]!x_s6_c11^{1,2}),1,2)</f>
        <v>113.43853094692795</v>
      </c>
      <c r="F24">
        <f>INDEX(LINEST([0]!y_s6_c8,[0]!x_s6_c8^{1,2}),1)</f>
        <v>-1.753583174045384</v>
      </c>
      <c r="G24">
        <f>INDEX(LINEST([0]!y_s6_c8,[0]!x_s6_c8^{1,2}),1,2)</f>
        <v>156.7419117126498</v>
      </c>
      <c r="J24">
        <f>INDEX(LINEST([0]!y_s6_c5,[0]!x_s6_c5^{1,2}),1)</f>
        <v>-1.4236801626988713</v>
      </c>
      <c r="K24">
        <f>INDEX(LINEST([0]!y_s6_c5,[0]!x_s6_c5^{1,2}),1,2)</f>
        <v>127.50308922054407</v>
      </c>
      <c r="N24">
        <f>INDEX(LINEST([0]!y_s6_c2,[0]!x_s6_c2^{1,2}),1)</f>
        <v>-1.3316471337824862</v>
      </c>
      <c r="O24">
        <f>INDEX(LINEST([0]!y_s6_c2,[0]!x_s6_c2^{1,2}),1,2)</f>
        <v>119.46542003745041</v>
      </c>
    </row>
    <row r="25" spans="1:23" x14ac:dyDescent="0.25">
      <c r="A25" t="s">
        <v>0</v>
      </c>
      <c r="B25">
        <f>-C24/(2*B24)</f>
        <v>44.485299833425891</v>
      </c>
      <c r="E25" t="s">
        <v>0</v>
      </c>
      <c r="F25">
        <f>-G24/(2*F24)</f>
        <v>44.691895438029903</v>
      </c>
      <c r="I25" t="s">
        <v>0</v>
      </c>
      <c r="J25">
        <f>-K24/(2*J24)</f>
        <v>44.779400795624063</v>
      </c>
      <c r="M25" t="s">
        <v>0</v>
      </c>
      <c r="N25">
        <f>-O24/(2*N24)</f>
        <v>44.85625996810208</v>
      </c>
    </row>
    <row r="37" spans="1:15" x14ac:dyDescent="0.25">
      <c r="B37">
        <f>INDEX(LINEST([0]!y_s6_c10,[0]!x_s6_c10^{1,2}),1)</f>
        <v>-1.2750114236803345</v>
      </c>
      <c r="C37">
        <f>INDEX(LINEST([0]!y_s6_c10,[0]!x_s6_c10^{1,2}),1,2)</f>
        <v>113.59017306072494</v>
      </c>
      <c r="F37">
        <f>INDEX(LINEST([0]!y_s6_c7,[0]!x_s6_c7^{1,2}),1)</f>
        <v>-1.7319908095688112</v>
      </c>
      <c r="G37">
        <f>INDEX(LINEST([0]!y_s6_c7,[0]!x_s6_c7^{1,2}),1,2)</f>
        <v>154.9813375681355</v>
      </c>
      <c r="J37">
        <f>INDEX(LINEST([0]!y_s6_c4,[0]!x_s6_c4^{1,2}),1)</f>
        <v>-1.4647410525230971</v>
      </c>
      <c r="K37">
        <f>INDEX(LINEST([0]!y_s6_c4,[0]!x_s6_c4^{1,2}),1,2)</f>
        <v>131.27439036162397</v>
      </c>
      <c r="N37">
        <f>INDEX(LINEST([0]!y_s6_c1,[0]!x_s6_c1^{1,2}),1)</f>
        <v>-1.4286357873327677</v>
      </c>
      <c r="O37">
        <f>INDEX(LINEST([0]!y_s6_c1,[0]!x_s6_c1^{1,2}),1,2)</f>
        <v>128.38097812444431</v>
      </c>
    </row>
    <row r="38" spans="1:15" x14ac:dyDescent="0.25">
      <c r="A38" t="s">
        <v>1</v>
      </c>
      <c r="B38">
        <f>-C37/(2*B37)</f>
        <v>44.544766796224323</v>
      </c>
      <c r="E38" t="s">
        <v>1</v>
      </c>
      <c r="F38">
        <f>-G37/(2*F37)</f>
        <v>44.74080829756798</v>
      </c>
      <c r="I38" t="s">
        <v>0</v>
      </c>
      <c r="J38">
        <f>-K37/(2*J37)</f>
        <v>44.811466892218462</v>
      </c>
      <c r="M38" t="s">
        <v>0</v>
      </c>
      <c r="N38">
        <f>-O37/(2*N37)</f>
        <v>44.931318136769079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6</v>
      </c>
      <c r="AC2">
        <v>11</v>
      </c>
      <c r="AE2" t="s">
        <v>12</v>
      </c>
      <c r="AF2">
        <v>6</v>
      </c>
      <c r="AG2">
        <v>10</v>
      </c>
      <c r="AI2" t="s">
        <v>12</v>
      </c>
      <c r="AJ2">
        <v>6</v>
      </c>
      <c r="AK2">
        <v>9</v>
      </c>
      <c r="AM2" t="s">
        <v>12</v>
      </c>
      <c r="AN2">
        <v>6</v>
      </c>
      <c r="AO2">
        <v>8</v>
      </c>
      <c r="AQ2" t="s">
        <v>12</v>
      </c>
      <c r="AR2">
        <v>6</v>
      </c>
      <c r="AS2">
        <v>7</v>
      </c>
      <c r="AU2" t="s">
        <v>12</v>
      </c>
      <c r="AV2">
        <v>6</v>
      </c>
      <c r="AW2">
        <v>6</v>
      </c>
      <c r="AY2" t="s">
        <v>12</v>
      </c>
      <c r="AZ2">
        <v>6</v>
      </c>
      <c r="BA2">
        <v>5</v>
      </c>
      <c r="BC2" t="s">
        <v>12</v>
      </c>
      <c r="BD2">
        <v>6</v>
      </c>
      <c r="BE2">
        <v>4</v>
      </c>
      <c r="BG2" t="s">
        <v>12</v>
      </c>
      <c r="BH2">
        <v>6</v>
      </c>
      <c r="BI2">
        <v>3</v>
      </c>
      <c r="BK2" t="s">
        <v>12</v>
      </c>
      <c r="BL2">
        <v>6</v>
      </c>
      <c r="BM2">
        <v>2</v>
      </c>
      <c r="BO2" t="s">
        <v>12</v>
      </c>
      <c r="BP2">
        <v>6</v>
      </c>
      <c r="BQ2">
        <v>1</v>
      </c>
      <c r="BS2" t="s">
        <v>12</v>
      </c>
      <c r="BT2">
        <v>6</v>
      </c>
      <c r="BU2">
        <v>0</v>
      </c>
    </row>
    <row r="3" spans="1:73" x14ac:dyDescent="0.25">
      <c r="R3">
        <f>B12</f>
        <v>53.344532403609527</v>
      </c>
      <c r="S3">
        <v>-99</v>
      </c>
    </row>
    <row r="4" spans="1:73" x14ac:dyDescent="0.25">
      <c r="R4">
        <f>B25</f>
        <v>53.314932843651647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53.348604002309038</v>
      </c>
      <c r="S5">
        <v>-81</v>
      </c>
      <c r="AA5">
        <v>51.9</v>
      </c>
      <c r="AB5">
        <v>8.5423051299133892</v>
      </c>
      <c r="AC5">
        <v>11</v>
      </c>
      <c r="AE5">
        <v>51.9</v>
      </c>
      <c r="AF5">
        <v>8.7768154563624297</v>
      </c>
      <c r="AG5">
        <v>10</v>
      </c>
      <c r="AI5">
        <v>51.9</v>
      </c>
      <c r="AJ5">
        <v>8.4103930712858102</v>
      </c>
      <c r="AK5">
        <v>9</v>
      </c>
      <c r="AM5">
        <v>51.9</v>
      </c>
      <c r="AN5">
        <v>7.9780146568954002</v>
      </c>
      <c r="AO5">
        <v>8</v>
      </c>
      <c r="AQ5">
        <v>52.25</v>
      </c>
      <c r="AR5">
        <v>9.2385076615589607</v>
      </c>
      <c r="AS5">
        <v>7</v>
      </c>
      <c r="AU5">
        <v>52.25</v>
      </c>
      <c r="AV5">
        <v>9.0772818121252499</v>
      </c>
      <c r="AW5">
        <v>6</v>
      </c>
      <c r="AY5">
        <v>52.25</v>
      </c>
      <c r="AZ5">
        <v>8.9453697534976708</v>
      </c>
      <c r="BA5">
        <v>5</v>
      </c>
      <c r="BC5">
        <v>52.25</v>
      </c>
      <c r="BD5">
        <v>8.7768154563624297</v>
      </c>
      <c r="BE5">
        <v>4</v>
      </c>
      <c r="BG5">
        <v>52.25</v>
      </c>
      <c r="BH5">
        <v>8.5789473684210495</v>
      </c>
      <c r="BI5">
        <v>3</v>
      </c>
      <c r="BK5">
        <v>52.25</v>
      </c>
      <c r="BL5">
        <v>7.64823451032645</v>
      </c>
      <c r="BM5">
        <v>2</v>
      </c>
      <c r="BO5">
        <v>52.25</v>
      </c>
      <c r="BP5">
        <v>8.2418387741505708</v>
      </c>
      <c r="BQ5">
        <v>1</v>
      </c>
      <c r="BS5">
        <v>52.25</v>
      </c>
      <c r="BT5">
        <v>7.6115922718187896</v>
      </c>
      <c r="BU5">
        <v>0</v>
      </c>
    </row>
    <row r="6" spans="1:73" x14ac:dyDescent="0.25">
      <c r="R6">
        <f>F12</f>
        <v>53.409171345770702</v>
      </c>
      <c r="S6">
        <v>-72</v>
      </c>
      <c r="AA6">
        <v>52.25</v>
      </c>
      <c r="AB6">
        <v>10.007994670219899</v>
      </c>
      <c r="AC6">
        <v>11</v>
      </c>
      <c r="AE6">
        <v>52.25</v>
      </c>
      <c r="AF6">
        <v>10.037308461026001</v>
      </c>
      <c r="AG6">
        <v>10</v>
      </c>
      <c r="AI6">
        <v>52.25</v>
      </c>
      <c r="AJ6">
        <v>9.7368421052631593</v>
      </c>
      <c r="AK6">
        <v>9</v>
      </c>
      <c r="AM6">
        <v>52.25</v>
      </c>
      <c r="AN6">
        <v>9.6049300466355803</v>
      </c>
      <c r="AO6">
        <v>8</v>
      </c>
      <c r="AQ6">
        <v>52.6</v>
      </c>
      <c r="AR6">
        <v>10.2351765489674</v>
      </c>
      <c r="AS6">
        <v>7</v>
      </c>
      <c r="AU6">
        <v>52.6</v>
      </c>
      <c r="AV6">
        <v>10.205862758161199</v>
      </c>
      <c r="AW6">
        <v>6</v>
      </c>
      <c r="AY6">
        <v>52.6</v>
      </c>
      <c r="AZ6">
        <v>10.205862758161199</v>
      </c>
      <c r="BA6">
        <v>5</v>
      </c>
      <c r="BC6">
        <v>52.6</v>
      </c>
      <c r="BD6">
        <v>10.073950699533601</v>
      </c>
      <c r="BE6">
        <v>4</v>
      </c>
      <c r="BG6">
        <v>52.6</v>
      </c>
      <c r="BH6">
        <v>9.9420386409060608</v>
      </c>
      <c r="BI6">
        <v>3</v>
      </c>
      <c r="BK6">
        <v>52.6</v>
      </c>
      <c r="BL6">
        <v>9.9420386409060608</v>
      </c>
      <c r="BM6">
        <v>2</v>
      </c>
      <c r="BO6">
        <v>52.6</v>
      </c>
      <c r="BP6">
        <v>9.8687541638907401</v>
      </c>
      <c r="BQ6">
        <v>1</v>
      </c>
      <c r="BS6">
        <v>52.6</v>
      </c>
      <c r="BT6">
        <v>9.5389740173217898</v>
      </c>
      <c r="BU6">
        <v>0</v>
      </c>
    </row>
    <row r="7" spans="1:73" x14ac:dyDescent="0.25">
      <c r="R7">
        <f>F25</f>
        <v>53.480050973688996</v>
      </c>
      <c r="S7">
        <v>-63</v>
      </c>
      <c r="AA7">
        <v>52.6</v>
      </c>
      <c r="AB7">
        <v>10.572285143237799</v>
      </c>
      <c r="AC7">
        <v>11</v>
      </c>
      <c r="AE7">
        <v>52.6</v>
      </c>
      <c r="AF7">
        <v>10.572285143237799</v>
      </c>
      <c r="AG7">
        <v>10</v>
      </c>
      <c r="AI7">
        <v>52.6</v>
      </c>
      <c r="AJ7">
        <v>10.5063291139241</v>
      </c>
      <c r="AK7">
        <v>9</v>
      </c>
      <c r="AM7">
        <v>52.6</v>
      </c>
      <c r="AN7">
        <v>10.4403730846103</v>
      </c>
      <c r="AO7">
        <v>8</v>
      </c>
      <c r="AQ7">
        <v>52.95</v>
      </c>
      <c r="AR7">
        <v>10.601598934044</v>
      </c>
      <c r="AS7">
        <v>7</v>
      </c>
      <c r="AU7">
        <v>52.95</v>
      </c>
      <c r="AV7">
        <v>10.6675549633578</v>
      </c>
      <c r="AW7">
        <v>6</v>
      </c>
      <c r="AY7">
        <v>52.95</v>
      </c>
      <c r="AZ7">
        <v>10.6675549633578</v>
      </c>
      <c r="BA7">
        <v>5</v>
      </c>
      <c r="BC7">
        <v>52.95</v>
      </c>
      <c r="BD7">
        <v>10.601598934044</v>
      </c>
      <c r="BE7">
        <v>4</v>
      </c>
      <c r="BG7">
        <v>52.95</v>
      </c>
      <c r="BH7">
        <v>10.5063291139241</v>
      </c>
      <c r="BI7">
        <v>3</v>
      </c>
      <c r="BK7">
        <v>52.95</v>
      </c>
      <c r="BL7">
        <v>10.4696868754164</v>
      </c>
      <c r="BM7">
        <v>2</v>
      </c>
      <c r="BO7">
        <v>52.95</v>
      </c>
      <c r="BP7">
        <v>10.4696868754164</v>
      </c>
      <c r="BQ7">
        <v>1</v>
      </c>
      <c r="BS7">
        <v>52.95</v>
      </c>
      <c r="BT7">
        <v>10.3377748167888</v>
      </c>
      <c r="BU7">
        <v>0</v>
      </c>
    </row>
    <row r="8" spans="1:73" x14ac:dyDescent="0.25">
      <c r="R8">
        <f>F38</f>
        <v>53.53515835486882</v>
      </c>
      <c r="S8">
        <v>-54</v>
      </c>
      <c r="AA8">
        <v>52.95</v>
      </c>
      <c r="AB8">
        <v>10.770153231179201</v>
      </c>
      <c r="AC8">
        <v>11</v>
      </c>
      <c r="AE8">
        <v>52.95</v>
      </c>
      <c r="AF8">
        <v>10.799467021985301</v>
      </c>
      <c r="AG8">
        <v>10</v>
      </c>
      <c r="AI8">
        <v>52.95</v>
      </c>
      <c r="AJ8">
        <v>10.6675549633578</v>
      </c>
      <c r="AK8">
        <v>9</v>
      </c>
      <c r="AM8">
        <v>52.95</v>
      </c>
      <c r="AN8">
        <v>10.733510992671601</v>
      </c>
      <c r="AO8">
        <v>8</v>
      </c>
      <c r="AQ8">
        <v>53.3</v>
      </c>
      <c r="AR8">
        <v>10.733510992671601</v>
      </c>
      <c r="AS8">
        <v>7</v>
      </c>
      <c r="AU8">
        <v>53.3</v>
      </c>
      <c r="AV8">
        <v>10.872751499000699</v>
      </c>
      <c r="AW8">
        <v>6</v>
      </c>
      <c r="AY8">
        <v>53.3</v>
      </c>
      <c r="AZ8">
        <v>10.836109260493</v>
      </c>
      <c r="BA8">
        <v>5</v>
      </c>
      <c r="BC8">
        <v>53.3</v>
      </c>
      <c r="BD8">
        <v>10.799467021985301</v>
      </c>
      <c r="BE8">
        <v>4</v>
      </c>
      <c r="BG8">
        <v>53.3</v>
      </c>
      <c r="BH8">
        <v>10.7041972018654</v>
      </c>
      <c r="BI8">
        <v>3</v>
      </c>
      <c r="BK8">
        <v>53.3</v>
      </c>
      <c r="BL8">
        <v>10.7041972018654</v>
      </c>
      <c r="BM8">
        <v>2</v>
      </c>
      <c r="BO8">
        <v>53.3</v>
      </c>
      <c r="BP8">
        <v>10.7041972018654</v>
      </c>
      <c r="BQ8">
        <v>1</v>
      </c>
      <c r="BS8">
        <v>53.3</v>
      </c>
      <c r="BT8">
        <v>10.535642904730199</v>
      </c>
      <c r="BU8">
        <v>0</v>
      </c>
    </row>
    <row r="9" spans="1:73" x14ac:dyDescent="0.25">
      <c r="R9">
        <f>J12</f>
        <v>53.577433636532369</v>
      </c>
      <c r="S9">
        <v>-45</v>
      </c>
      <c r="AA9">
        <v>53.3</v>
      </c>
      <c r="AB9">
        <v>10.872751499000699</v>
      </c>
      <c r="AC9">
        <v>11</v>
      </c>
      <c r="AE9">
        <v>53.3</v>
      </c>
      <c r="AF9">
        <v>10.836109260493</v>
      </c>
      <c r="AG9">
        <v>10</v>
      </c>
      <c r="AI9">
        <v>53.3</v>
      </c>
      <c r="AJ9">
        <v>10.799467021985301</v>
      </c>
      <c r="AK9">
        <v>9</v>
      </c>
      <c r="AM9">
        <v>53.3</v>
      </c>
      <c r="AN9">
        <v>10.836109260493</v>
      </c>
      <c r="AO9">
        <v>8</v>
      </c>
      <c r="AQ9">
        <v>53.65</v>
      </c>
      <c r="AR9">
        <v>10.7041972018654</v>
      </c>
      <c r="AS9">
        <v>7</v>
      </c>
      <c r="AU9">
        <v>53.65</v>
      </c>
      <c r="AV9">
        <v>10.938707528314501</v>
      </c>
      <c r="AW9">
        <v>6</v>
      </c>
      <c r="AY9">
        <v>53.65</v>
      </c>
      <c r="AZ9">
        <v>10.902065289806799</v>
      </c>
      <c r="BA9">
        <v>5</v>
      </c>
      <c r="BC9">
        <v>53.65</v>
      </c>
      <c r="BD9">
        <v>10.872751499000699</v>
      </c>
      <c r="BE9">
        <v>4</v>
      </c>
      <c r="BG9">
        <v>53.65</v>
      </c>
      <c r="BH9">
        <v>10.770153231179201</v>
      </c>
      <c r="BI9">
        <v>3</v>
      </c>
      <c r="BK9">
        <v>53.65</v>
      </c>
      <c r="BL9">
        <v>10.7041972018654</v>
      </c>
      <c r="BM9">
        <v>2</v>
      </c>
      <c r="BO9">
        <v>53.65</v>
      </c>
      <c r="BP9">
        <v>10.770153231179201</v>
      </c>
      <c r="BQ9">
        <v>1</v>
      </c>
      <c r="BS9">
        <v>53.65</v>
      </c>
      <c r="BT9">
        <v>10.6382411725516</v>
      </c>
      <c r="BU9">
        <v>0</v>
      </c>
    </row>
    <row r="10" spans="1:73" x14ac:dyDescent="0.25">
      <c r="R10">
        <f>J25</f>
        <v>53.603008784773046</v>
      </c>
      <c r="S10">
        <v>-36</v>
      </c>
      <c r="AA10">
        <v>53.65</v>
      </c>
      <c r="AB10">
        <v>10.799467021985301</v>
      </c>
      <c r="AC10">
        <v>11</v>
      </c>
      <c r="AE10">
        <v>53.65</v>
      </c>
      <c r="AF10">
        <v>10.799467021985301</v>
      </c>
      <c r="AG10">
        <v>10</v>
      </c>
      <c r="AI10">
        <v>53.65</v>
      </c>
      <c r="AJ10">
        <v>10.733510992671601</v>
      </c>
      <c r="AK10">
        <v>9</v>
      </c>
      <c r="AM10">
        <v>53.65</v>
      </c>
      <c r="AN10">
        <v>10.770153231179201</v>
      </c>
      <c r="AO10">
        <v>8</v>
      </c>
      <c r="AQ10">
        <v>54</v>
      </c>
      <c r="AR10">
        <v>10.601598934044</v>
      </c>
      <c r="AS10">
        <v>7</v>
      </c>
      <c r="AU10">
        <v>54</v>
      </c>
      <c r="AV10">
        <v>10.799467021985301</v>
      </c>
      <c r="AW10">
        <v>6</v>
      </c>
      <c r="AY10">
        <v>54</v>
      </c>
      <c r="AZ10">
        <v>10.836109260493</v>
      </c>
      <c r="BA10">
        <v>5</v>
      </c>
      <c r="BC10">
        <v>54</v>
      </c>
      <c r="BD10">
        <v>10.799467021985301</v>
      </c>
      <c r="BE10">
        <v>4</v>
      </c>
      <c r="BG10">
        <v>54</v>
      </c>
      <c r="BH10">
        <v>10.6382411725516</v>
      </c>
      <c r="BI10">
        <v>3</v>
      </c>
      <c r="BK10">
        <v>54</v>
      </c>
      <c r="BL10">
        <v>10.572285143237799</v>
      </c>
      <c r="BM10">
        <v>2</v>
      </c>
      <c r="BO10">
        <v>54</v>
      </c>
      <c r="BP10">
        <v>10.7041972018654</v>
      </c>
      <c r="BQ10">
        <v>1</v>
      </c>
      <c r="BS10">
        <v>54</v>
      </c>
      <c r="BT10">
        <v>10.601598934044</v>
      </c>
      <c r="BU10">
        <v>0</v>
      </c>
    </row>
    <row r="11" spans="1:73" x14ac:dyDescent="0.25">
      <c r="B11">
        <f>INDEX(LINEST([0]!y_s7_c12,[0]!x_s7_c12^{1,2}),1)</f>
        <v>-1.104932312698637</v>
      </c>
      <c r="C11">
        <f>INDEX(LINEST([0]!y_s7_c12,[0]!x_s7_c12^{1,2}),1,2)</f>
        <v>117.88419511709532</v>
      </c>
      <c r="F11">
        <f>INDEX(LINEST([0]!y_s7_c9,[0]!x_s7_c9^{1,2}),1)</f>
        <v>-1.2510933753915554</v>
      </c>
      <c r="G11">
        <f>INDEX(LINEST([0]!y_s7_c9,[0]!x_s7_c9^{1,2}),1,2)</f>
        <v>133.63972091169242</v>
      </c>
      <c r="J11">
        <f>INDEX(LINEST([0]!y_s7_c6,[0]!x_s7_c6^{1,2}),1)</f>
        <v>-1.2207281313591485</v>
      </c>
      <c r="K11">
        <f>INDEX(LINEST([0]!y_s7_c6,[0]!x_s7_c6^{1,2}),1,2)</f>
        <v>130.8069608922859</v>
      </c>
      <c r="N11">
        <f>INDEX(LINEST([0]!y_s7_c3,[0]!x_s7_c3^{1,2}),1)</f>
        <v>-1.6538375129246878</v>
      </c>
      <c r="O11">
        <f>INDEX(LINEST([0]!y_s7_c3,[0]!x_s7_c3^{1,2}),1,2)</f>
        <v>177.26831933877943</v>
      </c>
      <c r="R11">
        <f>J38</f>
        <v>53.616251204109979</v>
      </c>
      <c r="S11">
        <v>-27</v>
      </c>
      <c r="AA11">
        <v>54</v>
      </c>
      <c r="AB11">
        <v>10.6382411725516</v>
      </c>
      <c r="AC11">
        <v>11</v>
      </c>
      <c r="AE11">
        <v>54</v>
      </c>
      <c r="AF11">
        <v>10.6382411725516</v>
      </c>
      <c r="AG11">
        <v>10</v>
      </c>
      <c r="AI11">
        <v>54</v>
      </c>
      <c r="AJ11">
        <v>10.601598934044</v>
      </c>
      <c r="AK11">
        <v>9</v>
      </c>
      <c r="AM11">
        <v>54</v>
      </c>
      <c r="AN11">
        <v>10.6382411725516</v>
      </c>
      <c r="AO11">
        <v>8</v>
      </c>
      <c r="AQ11">
        <v>54.35</v>
      </c>
      <c r="AR11">
        <v>10.4696868754164</v>
      </c>
      <c r="AS11">
        <v>7</v>
      </c>
      <c r="AU11">
        <v>54.35</v>
      </c>
      <c r="AV11">
        <v>10.601598934044</v>
      </c>
      <c r="AW11">
        <v>6</v>
      </c>
      <c r="AY11">
        <v>54.35</v>
      </c>
      <c r="AZ11">
        <v>10.601598934044</v>
      </c>
      <c r="BA11">
        <v>5</v>
      </c>
      <c r="BC11">
        <v>54.35</v>
      </c>
      <c r="BD11">
        <v>10.601598934044</v>
      </c>
      <c r="BE11">
        <v>4</v>
      </c>
      <c r="BG11">
        <v>54.35</v>
      </c>
      <c r="BH11">
        <v>10.4696868754164</v>
      </c>
      <c r="BI11">
        <v>3</v>
      </c>
      <c r="BK11">
        <v>54.35</v>
      </c>
      <c r="BL11">
        <v>10.4696868754164</v>
      </c>
      <c r="BM11">
        <v>2</v>
      </c>
      <c r="BO11">
        <v>54.35</v>
      </c>
      <c r="BP11">
        <v>10.535642904730199</v>
      </c>
      <c r="BQ11">
        <v>1</v>
      </c>
      <c r="BS11">
        <v>54.35</v>
      </c>
      <c r="BT11">
        <v>10.4696868754164</v>
      </c>
      <c r="BU11">
        <v>0</v>
      </c>
    </row>
    <row r="12" spans="1:73" x14ac:dyDescent="0.25">
      <c r="A12" t="s">
        <v>0</v>
      </c>
      <c r="B12">
        <f>-C11/(2*B11)</f>
        <v>53.344532403609527</v>
      </c>
      <c r="E12" t="s">
        <v>0</v>
      </c>
      <c r="F12">
        <f>-G11/(2*F11)</f>
        <v>53.409171345770702</v>
      </c>
      <c r="I12" t="s">
        <v>1</v>
      </c>
      <c r="J12">
        <f>-K11/(2*J11)</f>
        <v>53.577433636532369</v>
      </c>
      <c r="M12" t="s">
        <v>1</v>
      </c>
      <c r="N12">
        <f>-O11/(2*N11)</f>
        <v>53.593027716880627</v>
      </c>
      <c r="R12">
        <f>N12</f>
        <v>53.593027716880627</v>
      </c>
      <c r="S12">
        <v>-18</v>
      </c>
      <c r="AA12">
        <v>54.35</v>
      </c>
      <c r="AB12">
        <v>10.3377748167888</v>
      </c>
      <c r="AC12">
        <v>11</v>
      </c>
      <c r="AE12">
        <v>54.35</v>
      </c>
      <c r="AF12">
        <v>10.374417055296499</v>
      </c>
      <c r="AG12">
        <v>10</v>
      </c>
      <c r="AI12">
        <v>54.35</v>
      </c>
      <c r="AJ12">
        <v>10.271818787475</v>
      </c>
      <c r="AK12">
        <v>9</v>
      </c>
      <c r="AM12">
        <v>54.35</v>
      </c>
      <c r="AN12">
        <v>10.4403730846103</v>
      </c>
      <c r="AO12">
        <v>8</v>
      </c>
      <c r="AQ12">
        <v>54.7</v>
      </c>
      <c r="AR12">
        <v>9.1725516322451703</v>
      </c>
      <c r="AS12">
        <v>7</v>
      </c>
      <c r="AU12">
        <v>54.7</v>
      </c>
      <c r="AV12">
        <v>9.4070619586942108</v>
      </c>
      <c r="AW12">
        <v>6</v>
      </c>
      <c r="AY12">
        <v>54.7</v>
      </c>
      <c r="AZ12">
        <v>10.073950699533601</v>
      </c>
      <c r="BA12">
        <v>5</v>
      </c>
      <c r="BC12">
        <v>54.7</v>
      </c>
      <c r="BD12">
        <v>10.037308461026001</v>
      </c>
      <c r="BE12">
        <v>4</v>
      </c>
      <c r="BG12">
        <v>54.7</v>
      </c>
      <c r="BH12">
        <v>9.9053964023984005</v>
      </c>
      <c r="BI12">
        <v>3</v>
      </c>
      <c r="BK12">
        <v>54.7</v>
      </c>
      <c r="BL12">
        <v>8.8427714856762201</v>
      </c>
      <c r="BM12">
        <v>2</v>
      </c>
      <c r="BO12">
        <v>54.7</v>
      </c>
      <c r="BP12">
        <v>10.037308461026001</v>
      </c>
      <c r="BQ12">
        <v>1</v>
      </c>
      <c r="BS12">
        <v>54.7</v>
      </c>
      <c r="BT12">
        <v>10.1399067288474</v>
      </c>
      <c r="BU12">
        <v>0</v>
      </c>
    </row>
    <row r="13" spans="1:73" x14ac:dyDescent="0.25">
      <c r="R13">
        <f>N25</f>
        <v>53.637032414910834</v>
      </c>
      <c r="S13">
        <v>-9</v>
      </c>
      <c r="AA13">
        <v>54.7</v>
      </c>
      <c r="AB13">
        <v>8.6742171885409807</v>
      </c>
      <c r="AC13">
        <v>11</v>
      </c>
      <c r="AE13">
        <v>54.7</v>
      </c>
      <c r="AF13">
        <v>8.6449033977348506</v>
      </c>
      <c r="AG13">
        <v>10</v>
      </c>
      <c r="AI13">
        <v>54.7</v>
      </c>
      <c r="AJ13">
        <v>8.5129913391072591</v>
      </c>
      <c r="AK13">
        <v>9</v>
      </c>
      <c r="AM13">
        <v>54.7</v>
      </c>
      <c r="AN13">
        <v>8.5129913391072591</v>
      </c>
      <c r="AO13">
        <v>8</v>
      </c>
      <c r="AQ13">
        <v>55.05</v>
      </c>
      <c r="AR13">
        <v>8.2418387741505708</v>
      </c>
      <c r="AS13">
        <v>7</v>
      </c>
      <c r="AU13">
        <v>55.05</v>
      </c>
      <c r="AV13">
        <v>8.3077948034643594</v>
      </c>
      <c r="AW13">
        <v>6</v>
      </c>
      <c r="AY13">
        <v>55.05</v>
      </c>
      <c r="AZ13">
        <v>8.2784810126582293</v>
      </c>
      <c r="BA13">
        <v>5</v>
      </c>
      <c r="BC13">
        <v>55.05</v>
      </c>
      <c r="BD13">
        <v>8.3077948034643594</v>
      </c>
      <c r="BE13">
        <v>4</v>
      </c>
      <c r="BG13">
        <v>55.05</v>
      </c>
      <c r="BH13">
        <v>8.2125249833444407</v>
      </c>
      <c r="BI13">
        <v>3</v>
      </c>
      <c r="BK13">
        <v>55.05</v>
      </c>
      <c r="BL13">
        <v>7.51632245169887</v>
      </c>
      <c r="BM13">
        <v>2</v>
      </c>
      <c r="BO13">
        <v>55.05</v>
      </c>
      <c r="BP13">
        <v>8.0146568954030695</v>
      </c>
      <c r="BQ13">
        <v>1</v>
      </c>
      <c r="BS13">
        <v>55.05</v>
      </c>
      <c r="BT13">
        <v>8.2784810126582293</v>
      </c>
      <c r="BU13">
        <v>0</v>
      </c>
    </row>
    <row r="14" spans="1:73" x14ac:dyDescent="0.25">
      <c r="R14">
        <f>N38</f>
        <v>53.748794411866143</v>
      </c>
      <c r="S14">
        <v>0</v>
      </c>
      <c r="AA14">
        <v>55.05</v>
      </c>
      <c r="AB14">
        <v>7.9120586275816098</v>
      </c>
      <c r="AC14">
        <v>11</v>
      </c>
      <c r="AE14">
        <v>55.05</v>
      </c>
      <c r="AF14">
        <v>7.80946035976016</v>
      </c>
      <c r="AG14">
        <v>10</v>
      </c>
      <c r="AI14">
        <v>55.05</v>
      </c>
      <c r="AJ14">
        <v>7.6115922718187896</v>
      </c>
      <c r="AK14">
        <v>9</v>
      </c>
      <c r="AM14">
        <v>55.05</v>
      </c>
      <c r="AN14">
        <v>7.80946035976016</v>
      </c>
      <c r="AO14">
        <v>8</v>
      </c>
      <c r="AY14">
        <v>55.4</v>
      </c>
      <c r="AZ14">
        <v>6.9813457694870102</v>
      </c>
      <c r="BA14">
        <v>5</v>
      </c>
      <c r="BC14">
        <v>55.4</v>
      </c>
      <c r="BD14">
        <v>7.0106595602931403</v>
      </c>
      <c r="BE14">
        <v>4</v>
      </c>
      <c r="BO14">
        <v>55.4</v>
      </c>
      <c r="BP14">
        <v>6.6149233844103899</v>
      </c>
      <c r="BQ14">
        <v>1</v>
      </c>
      <c r="BS14">
        <v>55.4</v>
      </c>
      <c r="BT14">
        <v>7.4430379746835502</v>
      </c>
      <c r="BU14">
        <v>0</v>
      </c>
    </row>
    <row r="17" spans="1:23" x14ac:dyDescent="0.25">
      <c r="R17" t="s">
        <v>4</v>
      </c>
      <c r="S17">
        <f>SLOPE(R3:R14,S3:S14)</f>
        <v>4.0805331160717424E-3</v>
      </c>
      <c r="U17" t="s">
        <v>16</v>
      </c>
      <c r="V17">
        <f>(180 * ATAN(S17) / PI())</f>
        <v>0.23379602809359423</v>
      </c>
      <c r="W17" t="s">
        <v>6</v>
      </c>
    </row>
    <row r="18" spans="1:23" x14ac:dyDescent="0.25">
      <c r="R18" t="s">
        <v>5</v>
      </c>
      <c r="S18">
        <f>INTERCEPT(R3:R14,S3:S14)</f>
        <v>53.719319563659873</v>
      </c>
    </row>
    <row r="24" spans="1:23" x14ac:dyDescent="0.25">
      <c r="B24">
        <f>INDEX(LINEST([0]!y_s7_c11,[0]!x_s7_c11^{1,2}),1)</f>
        <v>-1.0797790135375269</v>
      </c>
      <c r="C24">
        <f>INDEX(LINEST([0]!y_s7_c11,[0]!x_s7_c11^{1,2}),1,2)</f>
        <v>115.13669118547534</v>
      </c>
      <c r="F24">
        <f>INDEX(LINEST([0]!y_s7_c8,[0]!x_s7_c8^{1,2}),1)</f>
        <v>-1.0605822228006501</v>
      </c>
      <c r="G24">
        <f>INDEX(LINEST([0]!y_s7_c8,[0]!x_s7_c8^{1,2}),1,2)</f>
        <v>113.43998267433429</v>
      </c>
      <c r="J24">
        <f>INDEX(LINEST([0]!y_s7_c5,[0]!x_s7_c5^{1,2}),1)</f>
        <v>-1.2381768163627933</v>
      </c>
      <c r="K24">
        <f>INDEX(LINEST([0]!y_s7_c5,[0]!x_s7_c5^{1,2}),1,2)</f>
        <v>132.74000552919426</v>
      </c>
      <c r="N24">
        <f>INDEX(LINEST([0]!y_s7_c2,[0]!x_s7_c2^{1,2}),1)</f>
        <v>-1.398160863279357</v>
      </c>
      <c r="O24">
        <f>INDEX(LINEST([0]!y_s7_c2,[0]!x_s7_c2^{1,2}),1,2)</f>
        <v>149.98639908994917</v>
      </c>
    </row>
    <row r="25" spans="1:23" x14ac:dyDescent="0.25">
      <c r="A25" t="s">
        <v>0</v>
      </c>
      <c r="B25">
        <f>-C24/(2*B24)</f>
        <v>53.314932843651647</v>
      </c>
      <c r="E25" t="s">
        <v>0</v>
      </c>
      <c r="F25">
        <f>-G24/(2*F24)</f>
        <v>53.480050973688996</v>
      </c>
      <c r="I25" t="s">
        <v>0</v>
      </c>
      <c r="J25">
        <f>-K24/(2*J24)</f>
        <v>53.603008784773046</v>
      </c>
      <c r="M25" t="s">
        <v>0</v>
      </c>
      <c r="N25">
        <f>-O24/(2*N24)</f>
        <v>53.637032414910834</v>
      </c>
    </row>
    <row r="37" spans="1:15" x14ac:dyDescent="0.25">
      <c r="B37">
        <f>INDEX(LINEST([0]!y_s7_c10,[0]!x_s7_c10^{1,2}),1)</f>
        <v>-1.1776729345969856</v>
      </c>
      <c r="C37">
        <f>INDEX(LINEST([0]!y_s7_c10,[0]!x_s7_c10^{1,2}),1,2)</f>
        <v>125.65441406410356</v>
      </c>
      <c r="F37">
        <f>INDEX(LINEST([0]!y_s7_c7,[0]!x_s7_c7^{1,2}),1)</f>
        <v>-1.1775110729549811</v>
      </c>
      <c r="G37">
        <f>INDEX(LINEST([0]!y_s7_c7,[0]!x_s7_c7^{1,2}),1,2)</f>
        <v>126.07648351051282</v>
      </c>
      <c r="J37">
        <f>INDEX(LINEST([0]!y_s7_c4,[0]!x_s7_c4^{1,2}),1)</f>
        <v>-1.2098186566908544</v>
      </c>
      <c r="K37">
        <f>INDEX(LINEST([0]!y_s7_c4,[0]!x_s7_c4^{1,2}),1,2)</f>
        <v>129.73188201711147</v>
      </c>
      <c r="N37">
        <f>INDEX(LINEST([0]!y_s7_c1,[0]!x_s7_c1^{1,2}),1)</f>
        <v>-1.3138633201448444</v>
      </c>
      <c r="O37">
        <f>INDEX(LINEST([0]!y_s7_c1,[0]!x_s7_c1^{1,2}),1,2)</f>
        <v>141.23713895951423</v>
      </c>
    </row>
    <row r="38" spans="1:15" x14ac:dyDescent="0.25">
      <c r="A38" t="s">
        <v>1</v>
      </c>
      <c r="B38">
        <f>-C37/(2*B37)</f>
        <v>53.348604002309038</v>
      </c>
      <c r="E38" t="s">
        <v>1</v>
      </c>
      <c r="F38">
        <f>-G37/(2*F37)</f>
        <v>53.53515835486882</v>
      </c>
      <c r="I38" t="s">
        <v>0</v>
      </c>
      <c r="J38">
        <f>-K37/(2*J37)</f>
        <v>53.616251204109979</v>
      </c>
      <c r="M38" t="s">
        <v>0</v>
      </c>
      <c r="N38">
        <f>-O37/(2*N37)</f>
        <v>53.748794411866143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8"/>
  <sheetViews>
    <sheetView workbookViewId="0"/>
  </sheetViews>
  <sheetFormatPr defaultRowHeight="15" x14ac:dyDescent="0.25"/>
  <sheetData>
    <row r="1" spans="1:73" x14ac:dyDescent="0.25">
      <c r="AA1" t="s">
        <v>11</v>
      </c>
      <c r="AB1" t="s">
        <v>9</v>
      </c>
      <c r="AC1" t="s">
        <v>10</v>
      </c>
      <c r="AE1" t="s">
        <v>11</v>
      </c>
      <c r="AF1" t="s">
        <v>9</v>
      </c>
      <c r="AG1" t="s">
        <v>10</v>
      </c>
      <c r="AI1" t="s">
        <v>11</v>
      </c>
      <c r="AJ1" t="s">
        <v>9</v>
      </c>
      <c r="AK1" t="s">
        <v>10</v>
      </c>
      <c r="AM1" t="s">
        <v>11</v>
      </c>
      <c r="AN1" t="s">
        <v>9</v>
      </c>
      <c r="AO1" t="s">
        <v>10</v>
      </c>
      <c r="AQ1" t="s">
        <v>11</v>
      </c>
      <c r="AR1" t="s">
        <v>9</v>
      </c>
      <c r="AS1" t="s">
        <v>10</v>
      </c>
      <c r="AU1" t="s">
        <v>11</v>
      </c>
      <c r="AV1" t="s">
        <v>9</v>
      </c>
      <c r="AW1" t="s">
        <v>10</v>
      </c>
      <c r="AY1" t="s">
        <v>11</v>
      </c>
      <c r="AZ1" t="s">
        <v>9</v>
      </c>
      <c r="BA1" t="s">
        <v>10</v>
      </c>
      <c r="BC1" t="s">
        <v>11</v>
      </c>
      <c r="BD1" t="s">
        <v>9</v>
      </c>
      <c r="BE1" t="s">
        <v>10</v>
      </c>
      <c r="BG1" t="s">
        <v>11</v>
      </c>
      <c r="BH1" t="s">
        <v>9</v>
      </c>
      <c r="BI1" t="s">
        <v>10</v>
      </c>
      <c r="BK1" t="s">
        <v>11</v>
      </c>
      <c r="BL1" t="s">
        <v>9</v>
      </c>
      <c r="BM1" t="s">
        <v>10</v>
      </c>
      <c r="BO1" t="s">
        <v>11</v>
      </c>
      <c r="BP1" t="s">
        <v>9</v>
      </c>
      <c r="BQ1" t="s">
        <v>10</v>
      </c>
      <c r="BS1" t="s">
        <v>11</v>
      </c>
      <c r="BT1" t="s">
        <v>9</v>
      </c>
      <c r="BU1" t="s">
        <v>10</v>
      </c>
    </row>
    <row r="2" spans="1:73" x14ac:dyDescent="0.25">
      <c r="R2" t="s">
        <v>2</v>
      </c>
      <c r="S2" t="s">
        <v>3</v>
      </c>
      <c r="AA2" t="s">
        <v>12</v>
      </c>
      <c r="AB2">
        <v>7</v>
      </c>
      <c r="AC2">
        <v>11</v>
      </c>
      <c r="AE2" t="s">
        <v>12</v>
      </c>
      <c r="AF2">
        <v>7</v>
      </c>
      <c r="AG2">
        <v>10</v>
      </c>
      <c r="AI2" t="s">
        <v>12</v>
      </c>
      <c r="AJ2">
        <v>7</v>
      </c>
      <c r="AK2">
        <v>9</v>
      </c>
      <c r="AM2" t="s">
        <v>12</v>
      </c>
      <c r="AN2">
        <v>7</v>
      </c>
      <c r="AO2">
        <v>8</v>
      </c>
      <c r="AQ2" t="s">
        <v>12</v>
      </c>
      <c r="AR2">
        <v>7</v>
      </c>
      <c r="AS2">
        <v>7</v>
      </c>
      <c r="AU2" t="s">
        <v>12</v>
      </c>
      <c r="AV2">
        <v>7</v>
      </c>
      <c r="AW2">
        <v>6</v>
      </c>
      <c r="AY2" t="s">
        <v>12</v>
      </c>
      <c r="AZ2">
        <v>7</v>
      </c>
      <c r="BA2">
        <v>5</v>
      </c>
      <c r="BC2" t="s">
        <v>12</v>
      </c>
      <c r="BD2">
        <v>7</v>
      </c>
      <c r="BE2">
        <v>4</v>
      </c>
      <c r="BG2" t="s">
        <v>12</v>
      </c>
      <c r="BH2">
        <v>7</v>
      </c>
      <c r="BI2">
        <v>3</v>
      </c>
      <c r="BK2" t="s">
        <v>12</v>
      </c>
      <c r="BL2">
        <v>7</v>
      </c>
      <c r="BM2">
        <v>2</v>
      </c>
      <c r="BO2" t="s">
        <v>12</v>
      </c>
      <c r="BP2">
        <v>7</v>
      </c>
      <c r="BQ2">
        <v>1</v>
      </c>
      <c r="BS2" t="s">
        <v>12</v>
      </c>
      <c r="BT2">
        <v>7</v>
      </c>
      <c r="BU2">
        <v>0</v>
      </c>
    </row>
    <row r="3" spans="1:73" x14ac:dyDescent="0.25">
      <c r="R3">
        <f>B12</f>
        <v>62.142701149425264</v>
      </c>
      <c r="S3">
        <v>-99</v>
      </c>
    </row>
    <row r="4" spans="1:73" x14ac:dyDescent="0.25">
      <c r="R4">
        <f>B25</f>
        <v>62.110191700496138</v>
      </c>
      <c r="S4">
        <v>-90</v>
      </c>
      <c r="AA4" t="s">
        <v>2</v>
      </c>
      <c r="AB4" t="s">
        <v>11</v>
      </c>
      <c r="AC4" t="s">
        <v>10</v>
      </c>
      <c r="AE4" t="s">
        <v>2</v>
      </c>
      <c r="AF4" t="s">
        <v>11</v>
      </c>
      <c r="AG4" t="s">
        <v>10</v>
      </c>
      <c r="AI4" t="s">
        <v>2</v>
      </c>
      <c r="AJ4" t="s">
        <v>11</v>
      </c>
      <c r="AK4" t="s">
        <v>10</v>
      </c>
      <c r="AM4" t="s">
        <v>2</v>
      </c>
      <c r="AN4" t="s">
        <v>11</v>
      </c>
      <c r="AO4" t="s">
        <v>10</v>
      </c>
      <c r="AQ4" t="s">
        <v>2</v>
      </c>
      <c r="AR4" t="s">
        <v>11</v>
      </c>
      <c r="AS4" t="s">
        <v>10</v>
      </c>
      <c r="AU4" t="s">
        <v>2</v>
      </c>
      <c r="AV4" t="s">
        <v>11</v>
      </c>
      <c r="AW4" t="s">
        <v>10</v>
      </c>
      <c r="AY4" t="s">
        <v>2</v>
      </c>
      <c r="AZ4" t="s">
        <v>11</v>
      </c>
      <c r="BA4" t="s">
        <v>10</v>
      </c>
      <c r="BC4" t="s">
        <v>2</v>
      </c>
      <c r="BD4" t="s">
        <v>11</v>
      </c>
      <c r="BE4" t="s">
        <v>10</v>
      </c>
      <c r="BG4" t="s">
        <v>2</v>
      </c>
      <c r="BH4" t="s">
        <v>11</v>
      </c>
      <c r="BI4" t="s">
        <v>10</v>
      </c>
      <c r="BK4" t="s">
        <v>2</v>
      </c>
      <c r="BL4" t="s">
        <v>11</v>
      </c>
      <c r="BM4" t="s">
        <v>10</v>
      </c>
      <c r="BO4" t="s">
        <v>2</v>
      </c>
      <c r="BP4" t="s">
        <v>11</v>
      </c>
      <c r="BQ4" t="s">
        <v>10</v>
      </c>
      <c r="BS4" t="s">
        <v>2</v>
      </c>
      <c r="BT4" t="s">
        <v>11</v>
      </c>
      <c r="BU4" t="s">
        <v>10</v>
      </c>
    </row>
    <row r="5" spans="1:73" x14ac:dyDescent="0.25">
      <c r="R5">
        <f>B38</f>
        <v>62.183783655600173</v>
      </c>
      <c r="S5">
        <v>-81</v>
      </c>
      <c r="AA5">
        <v>60.9</v>
      </c>
      <c r="AB5">
        <v>9.9385847797062699</v>
      </c>
      <c r="AC5">
        <v>11</v>
      </c>
      <c r="AE5">
        <v>60.9</v>
      </c>
      <c r="AF5">
        <v>9.9679572763684892</v>
      </c>
      <c r="AG5">
        <v>10</v>
      </c>
      <c r="AI5">
        <v>60.9</v>
      </c>
      <c r="AJ5">
        <v>9.3951935914552696</v>
      </c>
      <c r="AK5">
        <v>9</v>
      </c>
      <c r="AM5">
        <v>60.9</v>
      </c>
      <c r="AN5">
        <v>9.5640854472630092</v>
      </c>
      <c r="AO5">
        <v>8</v>
      </c>
      <c r="AQ5">
        <v>60.9</v>
      </c>
      <c r="AR5">
        <v>9.5347129506008006</v>
      </c>
      <c r="AS5">
        <v>7</v>
      </c>
      <c r="AU5">
        <v>60.9</v>
      </c>
      <c r="AV5">
        <v>9.49799732977303</v>
      </c>
      <c r="AW5">
        <v>6</v>
      </c>
      <c r="AY5">
        <v>60.9</v>
      </c>
      <c r="AZ5">
        <v>9.4319092122830401</v>
      </c>
      <c r="BA5">
        <v>5</v>
      </c>
      <c r="BC5">
        <v>60.9</v>
      </c>
      <c r="BD5">
        <v>9.2263017356475192</v>
      </c>
      <c r="BE5">
        <v>4</v>
      </c>
      <c r="BG5">
        <v>61.25</v>
      </c>
      <c r="BH5">
        <v>9.7696929238985302</v>
      </c>
      <c r="BI5">
        <v>3</v>
      </c>
      <c r="BK5">
        <v>61.25</v>
      </c>
      <c r="BL5">
        <v>9.7329773030707596</v>
      </c>
      <c r="BM5">
        <v>2</v>
      </c>
      <c r="BO5">
        <v>61.25</v>
      </c>
      <c r="BP5">
        <v>9.7036048064085403</v>
      </c>
      <c r="BQ5">
        <v>1</v>
      </c>
      <c r="BS5">
        <v>61.25</v>
      </c>
      <c r="BT5">
        <v>9.4319092122830401</v>
      </c>
      <c r="BU5">
        <v>0</v>
      </c>
    </row>
    <row r="6" spans="1:73" x14ac:dyDescent="0.25">
      <c r="R6">
        <f>F12</f>
        <v>62.223895726207552</v>
      </c>
      <c r="S6">
        <v>-72</v>
      </c>
      <c r="AA6">
        <v>61.25</v>
      </c>
      <c r="AB6">
        <v>10.408544726301701</v>
      </c>
      <c r="AC6">
        <v>11</v>
      </c>
      <c r="AE6">
        <v>61.25</v>
      </c>
      <c r="AF6">
        <v>10.371829105473999</v>
      </c>
      <c r="AG6">
        <v>10</v>
      </c>
      <c r="AI6">
        <v>61.25</v>
      </c>
      <c r="AJ6">
        <v>10.276368491321801</v>
      </c>
      <c r="AK6">
        <v>9</v>
      </c>
      <c r="AM6">
        <v>61.25</v>
      </c>
      <c r="AN6">
        <v>10.173564753003999</v>
      </c>
      <c r="AO6">
        <v>8</v>
      </c>
      <c r="AQ6">
        <v>61.25</v>
      </c>
      <c r="AR6">
        <v>10.1368491321762</v>
      </c>
      <c r="AS6">
        <v>7</v>
      </c>
      <c r="AU6">
        <v>61.25</v>
      </c>
      <c r="AV6">
        <v>10.1368491321762</v>
      </c>
      <c r="AW6">
        <v>6</v>
      </c>
      <c r="AY6">
        <v>61.25</v>
      </c>
      <c r="AZ6">
        <v>10.1368491321762</v>
      </c>
      <c r="BA6">
        <v>5</v>
      </c>
      <c r="BC6">
        <v>61.25</v>
      </c>
      <c r="BD6">
        <v>9.9679572763684892</v>
      </c>
      <c r="BE6">
        <v>4</v>
      </c>
      <c r="BG6">
        <v>61.6</v>
      </c>
      <c r="BH6">
        <v>10.239652870494</v>
      </c>
      <c r="BI6">
        <v>3</v>
      </c>
      <c r="BK6">
        <v>61.6</v>
      </c>
      <c r="BL6">
        <v>10.239652870494</v>
      </c>
      <c r="BM6">
        <v>2</v>
      </c>
      <c r="BO6">
        <v>61.6</v>
      </c>
      <c r="BP6">
        <v>10.2102803738318</v>
      </c>
      <c r="BQ6">
        <v>1</v>
      </c>
      <c r="BS6">
        <v>61.6</v>
      </c>
      <c r="BT6">
        <v>10.041388518024</v>
      </c>
      <c r="BU6">
        <v>0</v>
      </c>
    </row>
    <row r="7" spans="1:73" x14ac:dyDescent="0.25">
      <c r="R7">
        <f>F25</f>
        <v>62.203065184761599</v>
      </c>
      <c r="S7">
        <v>-63</v>
      </c>
      <c r="AA7">
        <v>61.6</v>
      </c>
      <c r="AB7">
        <v>10.783044058745</v>
      </c>
      <c r="AC7">
        <v>11</v>
      </c>
      <c r="AE7">
        <v>61.6</v>
      </c>
      <c r="AF7">
        <v>10.7096128170894</v>
      </c>
      <c r="AG7">
        <v>10</v>
      </c>
      <c r="AI7">
        <v>61.6</v>
      </c>
      <c r="AJ7">
        <v>10.643524699599499</v>
      </c>
      <c r="AK7">
        <v>9</v>
      </c>
      <c r="AM7">
        <v>61.6</v>
      </c>
      <c r="AN7">
        <v>10.577436582109501</v>
      </c>
      <c r="AO7">
        <v>8</v>
      </c>
      <c r="AQ7">
        <v>61.6</v>
      </c>
      <c r="AR7">
        <v>10.5407209612817</v>
      </c>
      <c r="AS7">
        <v>7</v>
      </c>
      <c r="AU7">
        <v>61.6</v>
      </c>
      <c r="AV7">
        <v>10.643524699599499</v>
      </c>
      <c r="AW7">
        <v>6</v>
      </c>
      <c r="AY7">
        <v>61.6</v>
      </c>
      <c r="AZ7">
        <v>10.577436582109501</v>
      </c>
      <c r="BA7">
        <v>5</v>
      </c>
      <c r="BC7">
        <v>61.6</v>
      </c>
      <c r="BD7">
        <v>10.371829105473999</v>
      </c>
      <c r="BE7">
        <v>4</v>
      </c>
      <c r="BG7">
        <v>61.95</v>
      </c>
      <c r="BH7">
        <v>10.577436582109501</v>
      </c>
      <c r="BI7">
        <v>3</v>
      </c>
      <c r="BK7">
        <v>61.95</v>
      </c>
      <c r="BL7">
        <v>10.577436582109501</v>
      </c>
      <c r="BM7">
        <v>2</v>
      </c>
      <c r="BO7">
        <v>61.95</v>
      </c>
      <c r="BP7">
        <v>10.5407209612817</v>
      </c>
      <c r="BQ7">
        <v>1</v>
      </c>
      <c r="BS7">
        <v>61.95</v>
      </c>
      <c r="BT7">
        <v>10.371829105473999</v>
      </c>
      <c r="BU7">
        <v>0</v>
      </c>
    </row>
    <row r="8" spans="1:73" x14ac:dyDescent="0.25">
      <c r="R8">
        <f>F38</f>
        <v>62.281898437499954</v>
      </c>
      <c r="S8">
        <v>-54</v>
      </c>
      <c r="AA8">
        <v>61.95</v>
      </c>
      <c r="AB8">
        <v>10.915220293725</v>
      </c>
      <c r="AC8">
        <v>11</v>
      </c>
      <c r="AE8">
        <v>61.95</v>
      </c>
      <c r="AF8">
        <v>10.849132176235001</v>
      </c>
      <c r="AG8">
        <v>10</v>
      </c>
      <c r="AI8">
        <v>61.95</v>
      </c>
      <c r="AJ8">
        <v>10.8124165554072</v>
      </c>
      <c r="AK8">
        <v>9</v>
      </c>
      <c r="AM8">
        <v>61.95</v>
      </c>
      <c r="AN8">
        <v>10.746328437917199</v>
      </c>
      <c r="AO8">
        <v>8</v>
      </c>
      <c r="AQ8">
        <v>61.95</v>
      </c>
      <c r="AR8">
        <v>10.746328437917199</v>
      </c>
      <c r="AS8">
        <v>7</v>
      </c>
      <c r="AU8">
        <v>61.95</v>
      </c>
      <c r="AV8">
        <v>10.915220293725</v>
      </c>
      <c r="AW8">
        <v>6</v>
      </c>
      <c r="AY8">
        <v>61.95</v>
      </c>
      <c r="AZ8">
        <v>10.849132176235001</v>
      </c>
      <c r="BA8">
        <v>5</v>
      </c>
      <c r="BC8">
        <v>61.95</v>
      </c>
      <c r="BD8">
        <v>10.7096128170894</v>
      </c>
      <c r="BE8">
        <v>4</v>
      </c>
      <c r="BG8">
        <v>62.3</v>
      </c>
      <c r="BH8">
        <v>10.680240320427201</v>
      </c>
      <c r="BI8">
        <v>3</v>
      </c>
      <c r="BK8">
        <v>62.3</v>
      </c>
      <c r="BL8">
        <v>10.680240320427201</v>
      </c>
      <c r="BM8">
        <v>2</v>
      </c>
      <c r="BO8">
        <v>62.3</v>
      </c>
      <c r="BP8">
        <v>10.7096128170894</v>
      </c>
      <c r="BQ8">
        <v>1</v>
      </c>
      <c r="BS8">
        <v>62.3</v>
      </c>
      <c r="BT8">
        <v>10.6141522029372</v>
      </c>
      <c r="BU8">
        <v>0</v>
      </c>
    </row>
    <row r="9" spans="1:73" x14ac:dyDescent="0.25">
      <c r="R9">
        <f>J12</f>
        <v>62.365272251308866</v>
      </c>
      <c r="S9">
        <v>-45</v>
      </c>
      <c r="AA9">
        <v>62.3</v>
      </c>
      <c r="AB9">
        <v>10.981308411214901</v>
      </c>
      <c r="AC9">
        <v>11</v>
      </c>
      <c r="AE9">
        <v>62.3</v>
      </c>
      <c r="AF9">
        <v>10.878504672897201</v>
      </c>
      <c r="AG9">
        <v>10</v>
      </c>
      <c r="AI9">
        <v>62.3</v>
      </c>
      <c r="AJ9">
        <v>10.8124165554072</v>
      </c>
      <c r="AK9">
        <v>9</v>
      </c>
      <c r="AM9">
        <v>62.3</v>
      </c>
      <c r="AN9">
        <v>10.8124165554072</v>
      </c>
      <c r="AO9">
        <v>8</v>
      </c>
      <c r="AQ9">
        <v>62.3</v>
      </c>
      <c r="AR9">
        <v>10.783044058745</v>
      </c>
      <c r="AS9">
        <v>7</v>
      </c>
      <c r="AU9">
        <v>62.3</v>
      </c>
      <c r="AV9">
        <v>11.047396528704899</v>
      </c>
      <c r="AW9">
        <v>6</v>
      </c>
      <c r="AY9">
        <v>62.3</v>
      </c>
      <c r="AZ9">
        <v>11.0180240320427</v>
      </c>
      <c r="BA9">
        <v>5</v>
      </c>
      <c r="BC9">
        <v>62.3</v>
      </c>
      <c r="BD9">
        <v>10.849132176235001</v>
      </c>
      <c r="BE9">
        <v>4</v>
      </c>
      <c r="BG9">
        <v>62.65</v>
      </c>
      <c r="BH9">
        <v>10.7096128170894</v>
      </c>
      <c r="BI9">
        <v>3</v>
      </c>
      <c r="BK9">
        <v>62.65</v>
      </c>
      <c r="BL9">
        <v>10.680240320427201</v>
      </c>
      <c r="BM9">
        <v>2</v>
      </c>
      <c r="BO9">
        <v>62.65</v>
      </c>
      <c r="BP9">
        <v>10.746328437917199</v>
      </c>
      <c r="BQ9">
        <v>1</v>
      </c>
      <c r="BS9">
        <v>62.65</v>
      </c>
      <c r="BT9">
        <v>10.680240320427201</v>
      </c>
      <c r="BU9">
        <v>0</v>
      </c>
    </row>
    <row r="10" spans="1:73" x14ac:dyDescent="0.25">
      <c r="R10">
        <f>J25</f>
        <v>62.342893175074153</v>
      </c>
      <c r="S10">
        <v>-36</v>
      </c>
      <c r="AA10">
        <v>62.65</v>
      </c>
      <c r="AB10">
        <v>10.878504672897201</v>
      </c>
      <c r="AC10">
        <v>11</v>
      </c>
      <c r="AE10">
        <v>62.65</v>
      </c>
      <c r="AF10">
        <v>10.746328437917199</v>
      </c>
      <c r="AG10">
        <v>10</v>
      </c>
      <c r="AI10">
        <v>62.65</v>
      </c>
      <c r="AJ10">
        <v>10.7096128170894</v>
      </c>
      <c r="AK10">
        <v>9</v>
      </c>
      <c r="AM10">
        <v>62.65</v>
      </c>
      <c r="AN10">
        <v>10.7096128170894</v>
      </c>
      <c r="AO10">
        <v>8</v>
      </c>
      <c r="AQ10">
        <v>62.65</v>
      </c>
      <c r="AR10">
        <v>10.746328437917199</v>
      </c>
      <c r="AS10">
        <v>7</v>
      </c>
      <c r="AU10">
        <v>62.65</v>
      </c>
      <c r="AV10">
        <v>11.0841121495327</v>
      </c>
      <c r="AW10">
        <v>6</v>
      </c>
      <c r="AY10">
        <v>62.65</v>
      </c>
      <c r="AZ10">
        <v>10.951935914552701</v>
      </c>
      <c r="BA10">
        <v>5</v>
      </c>
      <c r="BC10">
        <v>62.65</v>
      </c>
      <c r="BD10">
        <v>10.8124165554072</v>
      </c>
      <c r="BE10">
        <v>4</v>
      </c>
      <c r="BG10">
        <v>63</v>
      </c>
      <c r="BH10">
        <v>10.577436582109501</v>
      </c>
      <c r="BI10">
        <v>3</v>
      </c>
      <c r="BK10">
        <v>63</v>
      </c>
      <c r="BL10">
        <v>10.6141522029372</v>
      </c>
      <c r="BM10">
        <v>2</v>
      </c>
      <c r="BO10">
        <v>63</v>
      </c>
      <c r="BP10">
        <v>10.643524699599499</v>
      </c>
      <c r="BQ10">
        <v>1</v>
      </c>
      <c r="BS10">
        <v>63</v>
      </c>
      <c r="BT10">
        <v>10.5407209612817</v>
      </c>
      <c r="BU10">
        <v>0</v>
      </c>
    </row>
    <row r="11" spans="1:73" x14ac:dyDescent="0.25">
      <c r="B11">
        <f>INDEX(LINEST([0]!y_s8_c12,[0]!x_s8_c12^{1,2}),1)</f>
        <v>-1.0272199667584017</v>
      </c>
      <c r="C11">
        <f>INDEX(LINEST([0]!y_s8_c12,[0]!x_s8_c12^{1,2}),1,2)</f>
        <v>127.66844681797981</v>
      </c>
      <c r="F11">
        <f>INDEX(LINEST([0]!y_s8_c9,[0]!x_s8_c9^{1,2}),1)</f>
        <v>-0.76960404608146549</v>
      </c>
      <c r="G11">
        <f>INDEX(LINEST([0]!y_s8_c9,[0]!x_s8_c9^{1,2}),1,2)</f>
        <v>95.775523827681084</v>
      </c>
      <c r="J11">
        <f>INDEX(LINEST([0]!y_s8_c6,[0]!x_s8_c6^{1,2}),1)</f>
        <v>-0.86736964478715406</v>
      </c>
      <c r="K11">
        <f>INDEX(LINEST([0]!y_s8_c6,[0]!x_s8_c6^{1,2}),1,2)</f>
        <v>108.18748807934385</v>
      </c>
      <c r="N11">
        <f>INDEX(LINEST([0]!y_s8_c3,[0]!x_s8_c3^{1,2}),1)</f>
        <v>-0.97739648978039284</v>
      </c>
      <c r="O11">
        <f>INDEX(LINEST([0]!y_s8_c3,[0]!x_s8_c3^{1,2}),1,2)</f>
        <v>121.96075492948063</v>
      </c>
      <c r="R11">
        <f>J38</f>
        <v>62.35709021639741</v>
      </c>
      <c r="S11">
        <v>-27</v>
      </c>
      <c r="AA11">
        <v>63</v>
      </c>
      <c r="AB11">
        <v>10.746328437917199</v>
      </c>
      <c r="AC11">
        <v>11</v>
      </c>
      <c r="AE11">
        <v>63</v>
      </c>
      <c r="AF11">
        <v>10.643524699599499</v>
      </c>
      <c r="AG11">
        <v>10</v>
      </c>
      <c r="AI11">
        <v>63</v>
      </c>
      <c r="AJ11">
        <v>10.5113484646195</v>
      </c>
      <c r="AK11">
        <v>9</v>
      </c>
      <c r="AM11">
        <v>63</v>
      </c>
      <c r="AN11">
        <v>10.6141522029372</v>
      </c>
      <c r="AO11">
        <v>8</v>
      </c>
      <c r="AQ11">
        <v>63</v>
      </c>
      <c r="AR11">
        <v>10.6141522029372</v>
      </c>
      <c r="AS11">
        <v>7</v>
      </c>
      <c r="AU11">
        <v>63</v>
      </c>
      <c r="AV11">
        <v>10.849132176235001</v>
      </c>
      <c r="AW11">
        <v>6</v>
      </c>
      <c r="AY11">
        <v>63</v>
      </c>
      <c r="AZ11">
        <v>10.849132176235001</v>
      </c>
      <c r="BA11">
        <v>5</v>
      </c>
      <c r="BC11">
        <v>63</v>
      </c>
      <c r="BD11">
        <v>10.680240320427201</v>
      </c>
      <c r="BE11">
        <v>4</v>
      </c>
      <c r="BG11">
        <v>63.35</v>
      </c>
      <c r="BH11">
        <v>10.0707610146862</v>
      </c>
      <c r="BI11">
        <v>3</v>
      </c>
      <c r="BK11">
        <v>63.35</v>
      </c>
      <c r="BL11">
        <v>10.276368491321801</v>
      </c>
      <c r="BM11">
        <v>2</v>
      </c>
      <c r="BO11">
        <v>63.35</v>
      </c>
      <c r="BP11">
        <v>10.371829105473999</v>
      </c>
      <c r="BQ11">
        <v>1</v>
      </c>
      <c r="BS11">
        <v>63.35</v>
      </c>
      <c r="BT11">
        <v>10.276368491321801</v>
      </c>
      <c r="BU11">
        <v>0</v>
      </c>
    </row>
    <row r="12" spans="1:73" x14ac:dyDescent="0.25">
      <c r="A12" t="s">
        <v>0</v>
      </c>
      <c r="B12">
        <f>-C11/(2*B11)</f>
        <v>62.142701149425264</v>
      </c>
      <c r="E12" t="s">
        <v>0</v>
      </c>
      <c r="F12">
        <f>-G11/(2*F11)</f>
        <v>62.223895726207552</v>
      </c>
      <c r="I12" t="s">
        <v>1</v>
      </c>
      <c r="J12">
        <f>-K11/(2*J11)</f>
        <v>62.365272251308866</v>
      </c>
      <c r="M12" t="s">
        <v>1</v>
      </c>
      <c r="N12">
        <f>-O11/(2*N11)</f>
        <v>62.390624585158619</v>
      </c>
      <c r="R12">
        <f>N12</f>
        <v>62.390624585158619</v>
      </c>
      <c r="S12">
        <v>-18</v>
      </c>
      <c r="AA12">
        <v>63.35</v>
      </c>
      <c r="AB12">
        <v>10.305740987984001</v>
      </c>
      <c r="AC12">
        <v>11</v>
      </c>
      <c r="AE12">
        <v>63.35</v>
      </c>
      <c r="AF12">
        <v>10.1368491321762</v>
      </c>
      <c r="AG12">
        <v>10</v>
      </c>
      <c r="AI12">
        <v>63.35</v>
      </c>
      <c r="AJ12">
        <v>9.6668891855807697</v>
      </c>
      <c r="AK12">
        <v>9</v>
      </c>
      <c r="AM12">
        <v>63.35</v>
      </c>
      <c r="AN12">
        <v>9.9679572763684892</v>
      </c>
      <c r="AO12">
        <v>8</v>
      </c>
      <c r="AQ12">
        <v>63.35</v>
      </c>
      <c r="AR12">
        <v>10.173564753003999</v>
      </c>
      <c r="AS12">
        <v>7</v>
      </c>
      <c r="AU12">
        <v>63.35</v>
      </c>
      <c r="AV12">
        <v>10.7096128170894</v>
      </c>
      <c r="AW12">
        <v>6</v>
      </c>
      <c r="AY12">
        <v>63.35</v>
      </c>
      <c r="AZ12">
        <v>10.680240320427201</v>
      </c>
      <c r="BA12">
        <v>5</v>
      </c>
      <c r="BC12">
        <v>63.35</v>
      </c>
      <c r="BD12">
        <v>10.474632843791699</v>
      </c>
      <c r="BE12">
        <v>4</v>
      </c>
      <c r="BG12">
        <v>63.7</v>
      </c>
      <c r="BH12">
        <v>9.2630173564753004</v>
      </c>
      <c r="BI12">
        <v>3</v>
      </c>
      <c r="BK12">
        <v>63.7</v>
      </c>
      <c r="BL12">
        <v>9.2923898531375109</v>
      </c>
      <c r="BM12">
        <v>2</v>
      </c>
      <c r="BO12">
        <v>63.7</v>
      </c>
      <c r="BP12">
        <v>9.6301735647529991</v>
      </c>
      <c r="BQ12">
        <v>1</v>
      </c>
      <c r="BS12">
        <v>63.7</v>
      </c>
      <c r="BT12">
        <v>9.1969292389853106</v>
      </c>
      <c r="BU12">
        <v>0</v>
      </c>
    </row>
    <row r="13" spans="1:73" x14ac:dyDescent="0.25">
      <c r="R13">
        <f>N25</f>
        <v>62.478134328358202</v>
      </c>
      <c r="S13">
        <v>-9</v>
      </c>
      <c r="AA13">
        <v>63.7</v>
      </c>
      <c r="AB13">
        <v>9.0280373831775709</v>
      </c>
      <c r="AC13">
        <v>11</v>
      </c>
      <c r="AE13">
        <v>63.7</v>
      </c>
      <c r="AF13">
        <v>8.8591455273698205</v>
      </c>
      <c r="AG13">
        <v>10</v>
      </c>
      <c r="AI13">
        <v>63.7</v>
      </c>
      <c r="AJ13">
        <v>8.8591455273698205</v>
      </c>
      <c r="AK13">
        <v>9</v>
      </c>
      <c r="AM13">
        <v>63.7</v>
      </c>
      <c r="AN13">
        <v>9.0941255006675501</v>
      </c>
      <c r="AO13">
        <v>8</v>
      </c>
      <c r="AQ13">
        <v>63.7</v>
      </c>
      <c r="AR13">
        <v>9.2263017356475192</v>
      </c>
      <c r="AS13">
        <v>7</v>
      </c>
      <c r="AU13">
        <v>63.7</v>
      </c>
      <c r="AV13">
        <v>9.9679572763684892</v>
      </c>
      <c r="AW13">
        <v>6</v>
      </c>
      <c r="AY13">
        <v>63.7</v>
      </c>
      <c r="AZ13">
        <v>10.107476635514001</v>
      </c>
      <c r="BA13">
        <v>5</v>
      </c>
      <c r="BC13">
        <v>63.7</v>
      </c>
      <c r="BD13">
        <v>9.6008010680907798</v>
      </c>
      <c r="BE13">
        <v>4</v>
      </c>
      <c r="BG13">
        <v>64.05</v>
      </c>
      <c r="BH13">
        <v>7.5080106809078702</v>
      </c>
      <c r="BI13">
        <v>3</v>
      </c>
      <c r="BK13">
        <v>64.05</v>
      </c>
      <c r="BL13">
        <v>7.9485981308411198</v>
      </c>
      <c r="BM13">
        <v>2</v>
      </c>
      <c r="BO13">
        <v>64.05</v>
      </c>
      <c r="BP13">
        <v>8.8591455273698205</v>
      </c>
      <c r="BQ13">
        <v>1</v>
      </c>
      <c r="BS13">
        <v>64.05</v>
      </c>
      <c r="BT13">
        <v>8.6241655540720892</v>
      </c>
      <c r="BU13">
        <v>0</v>
      </c>
    </row>
    <row r="14" spans="1:73" x14ac:dyDescent="0.25">
      <c r="R14">
        <f>N38</f>
        <v>62.484522847954523</v>
      </c>
      <c r="S14">
        <v>0</v>
      </c>
      <c r="AA14">
        <v>64.05</v>
      </c>
      <c r="AB14">
        <v>6.9646194926568699</v>
      </c>
      <c r="AC14">
        <v>11</v>
      </c>
      <c r="AE14">
        <v>64.05</v>
      </c>
      <c r="AF14">
        <v>6.8324432576768999</v>
      </c>
      <c r="AG14">
        <v>10</v>
      </c>
      <c r="AQ14">
        <v>64.05</v>
      </c>
      <c r="AR14">
        <v>6.7957276368491302</v>
      </c>
      <c r="AS14">
        <v>7</v>
      </c>
      <c r="AU14">
        <v>64.05</v>
      </c>
      <c r="AV14">
        <v>6.7296395193591403</v>
      </c>
      <c r="AW14">
        <v>6</v>
      </c>
      <c r="AY14">
        <v>64.05</v>
      </c>
      <c r="AZ14">
        <v>8.1835781041388493</v>
      </c>
      <c r="BA14">
        <v>5</v>
      </c>
      <c r="BC14">
        <v>64.05</v>
      </c>
      <c r="BD14">
        <v>7.9118825100133501</v>
      </c>
      <c r="BE14">
        <v>4</v>
      </c>
    </row>
    <row r="15" spans="1:73" x14ac:dyDescent="0.25">
      <c r="AQ15">
        <v>64.400000000000006</v>
      </c>
      <c r="AR15">
        <v>6.5313751668891804</v>
      </c>
      <c r="AS15">
        <v>7</v>
      </c>
    </row>
    <row r="17" spans="1:23" x14ac:dyDescent="0.25">
      <c r="R17" t="s">
        <v>4</v>
      </c>
      <c r="S17">
        <f>SLOPE(R3:R14,S3:S14)</f>
        <v>3.7638846453711765E-3</v>
      </c>
      <c r="U17" t="s">
        <v>16</v>
      </c>
      <c r="V17">
        <f>(180 * ATAN(S17) / PI())</f>
        <v>0.21565368638150975</v>
      </c>
      <c r="W17" t="s">
        <v>6</v>
      </c>
    </row>
    <row r="18" spans="1:23" x14ac:dyDescent="0.25">
      <c r="R18" t="s">
        <v>5</v>
      </c>
      <c r="S18">
        <f>INTERCEPT(R3:R14,S3:S14)</f>
        <v>62.483318394799419</v>
      </c>
    </row>
    <row r="24" spans="1:23" x14ac:dyDescent="0.25">
      <c r="B24">
        <f>INDEX(LINEST([0]!y_s8_c11,[0]!x_s8_c11^{1,2}),1)</f>
        <v>-1.0067845562791236</v>
      </c>
      <c r="C24">
        <f>INDEX(LINEST([0]!y_s8_c11,[0]!x_s8_c11^{1,2}),1,2)</f>
        <v>125.06316358319062</v>
      </c>
      <c r="F24">
        <f>INDEX(LINEST([0]!y_s8_c8,[0]!x_s8_c8^{1,2}),1)</f>
        <v>-0.97747633509600784</v>
      </c>
      <c r="G24">
        <f>INDEX(LINEST([0]!y_s8_c8,[0]!x_s8_c8^{1,2}),1,2)</f>
        <v>121.60404837707769</v>
      </c>
      <c r="J24">
        <f>INDEX(LINEST([0]!y_s8_c5,[0]!x_s8_c5^{1,2}),1)</f>
        <v>-0.91823111086892084</v>
      </c>
      <c r="K24">
        <f>INDEX(LINEST([0]!y_s8_c5,[0]!x_s8_c5^{1,2}),1,2)</f>
        <v>114.49036810986161</v>
      </c>
      <c r="N24">
        <f>INDEX(LINEST([0]!y_s8_c2,[0]!x_s8_c2^{1,2}),1)</f>
        <v>-0.7649979694338741</v>
      </c>
      <c r="O24">
        <f>INDEX(LINEST([0]!y_s8_c2,[0]!x_s8_c2^{1,2}),1,2)</f>
        <v>95.591291790421693</v>
      </c>
    </row>
    <row r="25" spans="1:23" x14ac:dyDescent="0.25">
      <c r="A25" t="s">
        <v>0</v>
      </c>
      <c r="B25">
        <f>-C24/(2*B24)</f>
        <v>62.110191700496138</v>
      </c>
      <c r="E25" t="s">
        <v>0</v>
      </c>
      <c r="F25">
        <f>-G24/(2*F24)</f>
        <v>62.203065184761599</v>
      </c>
      <c r="I25" t="s">
        <v>0</v>
      </c>
      <c r="J25">
        <f>-K24/(2*J24)</f>
        <v>62.342893175074153</v>
      </c>
      <c r="M25" t="s">
        <v>0</v>
      </c>
      <c r="N25">
        <f>-O24/(2*N24)</f>
        <v>62.478134328358202</v>
      </c>
    </row>
    <row r="37" spans="1:15" x14ac:dyDescent="0.25">
      <c r="B37">
        <f>INDEX(LINEST([0]!y_s8_c10,[0]!x_s8_c10^{1,2}),1)</f>
        <v>-0.889102541646004</v>
      </c>
      <c r="C37">
        <f>INDEX(LINEST([0]!y_s8_c10,[0]!x_s8_c10^{1,2}),1,2)</f>
        <v>110.57552019471871</v>
      </c>
      <c r="F37">
        <f>INDEX(LINEST([0]!y_s8_c7,[0]!x_s8_c7^{1,2}),1)</f>
        <v>-1.1625477961544806</v>
      </c>
      <c r="G37">
        <f>INDEX(LINEST([0]!y_s8_c7,[0]!x_s8_c7^{1,2}),1,2)</f>
        <v>144.81136753766552</v>
      </c>
      <c r="J37">
        <f>INDEX(LINEST([0]!y_s8_c4,[0]!x_s8_c4^{1,2}),1)</f>
        <v>-1.0642632028970676</v>
      </c>
      <c r="K37">
        <f>INDEX(LINEST([0]!y_s8_c4,[0]!x_s8_c4^{1,2}),1,2)</f>
        <v>132.728713114089</v>
      </c>
      <c r="N37">
        <f>INDEX(LINEST([0]!y_s8_c1,[0]!x_s8_c1^{1,2}),1)</f>
        <v>-0.86743451910621217</v>
      </c>
      <c r="O37">
        <f>INDEX(LINEST([0]!y_s8_c1,[0]!x_s8_c1^{1,2}),1,2)</f>
        <v>108.40246405639311</v>
      </c>
    </row>
    <row r="38" spans="1:15" x14ac:dyDescent="0.25">
      <c r="A38" t="s">
        <v>1</v>
      </c>
      <c r="B38">
        <f>-C37/(2*B37)</f>
        <v>62.183783655600173</v>
      </c>
      <c r="E38" t="s">
        <v>1</v>
      </c>
      <c r="F38">
        <f>-G37/(2*F37)</f>
        <v>62.281898437499954</v>
      </c>
      <c r="I38" t="s">
        <v>0</v>
      </c>
      <c r="J38">
        <f>-K37/(2*J37)</f>
        <v>62.35709021639741</v>
      </c>
      <c r="M38" t="s">
        <v>0</v>
      </c>
      <c r="N38">
        <f>-O37/(2*N37)</f>
        <v>62.484522847954523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selection activeCell="K19" sqref="K19"/>
    </sheetView>
  </sheetViews>
  <sheetFormatPr defaultRowHeight="15" x14ac:dyDescent="0.25"/>
  <sheetData>
    <row r="1" spans="1:17" x14ac:dyDescent="0.25">
      <c r="J1" t="s">
        <v>15</v>
      </c>
      <c r="N1" t="s">
        <v>18</v>
      </c>
      <c r="Q1" t="s">
        <v>19</v>
      </c>
    </row>
    <row r="2" spans="1:17" x14ac:dyDescent="0.25">
      <c r="B2" t="s">
        <v>7</v>
      </c>
      <c r="C2" t="s">
        <v>3</v>
      </c>
      <c r="J2" t="s">
        <v>7</v>
      </c>
      <c r="K2" t="s">
        <v>3</v>
      </c>
      <c r="N2" t="s">
        <v>2</v>
      </c>
      <c r="O2" t="s">
        <v>3</v>
      </c>
      <c r="Q2" t="s">
        <v>2</v>
      </c>
    </row>
    <row r="3" spans="1:17" x14ac:dyDescent="0.25">
      <c r="B3">
        <f>('Sensor 1'!R3+'Sensor 2'!R3+'Sensor 3'!R3+'Sensor 4'!R3+'Sensor 5'!R3+'Sensor 6'!R3+'Sensor 7'!R3+'Sensor 8'!R3)/8</f>
        <v>31.036554753666053</v>
      </c>
      <c r="C3">
        <v>-99</v>
      </c>
      <c r="J3">
        <f>B3-$C$18</f>
        <v>-0.43923721114701308</v>
      </c>
      <c r="K3">
        <v>-99</v>
      </c>
      <c r="N3">
        <f>O3*$K$17+$K$18</f>
        <v>-0.42410143182937227</v>
      </c>
      <c r="O3">
        <v>-99</v>
      </c>
      <c r="Q3">
        <f>J3-N3</f>
        <v>-1.5135779317640818E-2</v>
      </c>
    </row>
    <row r="4" spans="1:17" x14ac:dyDescent="0.25">
      <c r="B4">
        <f>('Sensor 1'!R4+'Sensor 2'!R4+'Sensor 3'!R4+'Sensor 4'!R4+'Sensor 5'!R4+'Sensor 6'!R4+'Sensor 7'!R4+'Sensor 8'!R4)/8</f>
        <v>31.068373722842377</v>
      </c>
      <c r="C4">
        <v>-90</v>
      </c>
      <c r="J4">
        <f t="shared" ref="J4:J14" si="0">B4-$C$18</f>
        <v>-0.40741824197068865</v>
      </c>
      <c r="K4">
        <v>-90</v>
      </c>
      <c r="N4">
        <f t="shared" ref="N4:N14" si="1">O4*$K$17+$K$18</f>
        <v>-0.38554675620852075</v>
      </c>
      <c r="O4">
        <v>-90</v>
      </c>
      <c r="Q4">
        <f t="shared" ref="Q4:Q14" si="2">J4-N4</f>
        <v>-2.1871485762167908E-2</v>
      </c>
    </row>
    <row r="5" spans="1:17" x14ac:dyDescent="0.25">
      <c r="B5">
        <f>('Sensor 1'!R5+'Sensor 2'!R5+'Sensor 3'!R5+'Sensor 4'!R5+'Sensor 5'!R5+'Sensor 6'!R5+'Sensor 7'!R5+'Sensor 8'!R5)/8</f>
        <v>31.127267764157022</v>
      </c>
      <c r="C5">
        <v>-81</v>
      </c>
      <c r="J5">
        <f t="shared" si="0"/>
        <v>-0.34852420065604406</v>
      </c>
      <c r="K5">
        <v>-81</v>
      </c>
      <c r="N5">
        <f t="shared" si="1"/>
        <v>-0.34699208058766923</v>
      </c>
      <c r="O5">
        <v>-81</v>
      </c>
      <c r="Q5">
        <f t="shared" si="2"/>
        <v>-1.5321200683748315E-3</v>
      </c>
    </row>
    <row r="6" spans="1:17" x14ac:dyDescent="0.25">
      <c r="B6">
        <f>('Sensor 1'!R6+'Sensor 2'!R6+'Sensor 3'!R6+'Sensor 4'!R6+'Sensor 5'!R6+'Sensor 6'!R6+'Sensor 7'!R6+'Sensor 8'!R6)/8</f>
        <v>31.192928974772258</v>
      </c>
      <c r="C6">
        <v>-72</v>
      </c>
      <c r="J6">
        <f t="shared" si="0"/>
        <v>-0.28286299004080817</v>
      </c>
      <c r="K6">
        <v>-72</v>
      </c>
      <c r="N6">
        <f t="shared" si="1"/>
        <v>-0.30843740496681771</v>
      </c>
      <c r="O6">
        <v>-72</v>
      </c>
      <c r="Q6">
        <f t="shared" si="2"/>
        <v>2.5574414926009537E-2</v>
      </c>
    </row>
    <row r="7" spans="1:17" x14ac:dyDescent="0.25">
      <c r="B7">
        <f>('Sensor 1'!R7+'Sensor 2'!R7+'Sensor 3'!R7+'Sensor 4'!R7+'Sensor 5'!R7+'Sensor 6'!R7+'Sensor 7'!R7+'Sensor 8'!R7)/8</f>
        <v>31.241119066887123</v>
      </c>
      <c r="C7">
        <v>-63</v>
      </c>
      <c r="J7">
        <f t="shared" si="0"/>
        <v>-0.23467289792594315</v>
      </c>
      <c r="K7">
        <v>-63</v>
      </c>
      <c r="N7">
        <f t="shared" si="1"/>
        <v>-0.26988272934596619</v>
      </c>
      <c r="O7">
        <v>-63</v>
      </c>
      <c r="Q7">
        <f t="shared" si="2"/>
        <v>3.5209831420023041E-2</v>
      </c>
    </row>
    <row r="8" spans="1:17" x14ac:dyDescent="0.25">
      <c r="B8">
        <f>('Sensor 1'!R8+'Sensor 2'!R8+'Sensor 3'!R8+'Sensor 4'!R8+'Sensor 5'!R8+'Sensor 6'!R8+'Sensor 7'!R8+'Sensor 8'!R8)/8</f>
        <v>31.261984196196792</v>
      </c>
      <c r="C8">
        <v>-54</v>
      </c>
      <c r="J8">
        <f t="shared" si="0"/>
        <v>-0.21380776861627382</v>
      </c>
      <c r="K8">
        <v>-54</v>
      </c>
      <c r="N8">
        <f t="shared" si="1"/>
        <v>-0.2313280537251147</v>
      </c>
      <c r="O8">
        <v>-54</v>
      </c>
      <c r="Q8">
        <f t="shared" si="2"/>
        <v>1.7520285108840877E-2</v>
      </c>
    </row>
    <row r="9" spans="1:17" x14ac:dyDescent="0.25">
      <c r="B9">
        <f>('Sensor 1'!R9+'Sensor 2'!R9+'Sensor 3'!R9+'Sensor 4'!R9+'Sensor 5'!R9+'Sensor 6'!R9+'Sensor 7'!R9+'Sensor 8'!R9)/8</f>
        <v>31.277535858053476</v>
      </c>
      <c r="C9">
        <v>-45</v>
      </c>
      <c r="J9">
        <f t="shared" si="0"/>
        <v>-0.19825610675959027</v>
      </c>
      <c r="K9">
        <v>-45</v>
      </c>
      <c r="N9">
        <f t="shared" si="1"/>
        <v>-0.19277337810426318</v>
      </c>
      <c r="O9">
        <v>-45</v>
      </c>
      <c r="Q9">
        <f t="shared" si="2"/>
        <v>-5.4827286553270904E-3</v>
      </c>
    </row>
    <row r="10" spans="1:17" x14ac:dyDescent="0.25">
      <c r="B10">
        <f>('Sensor 1'!R10+'Sensor 2'!R10+'Sensor 3'!R10+'Sensor 4'!R10+'Sensor 5'!R10+'Sensor 6'!R10+'Sensor 7'!R10+'Sensor 8'!R10)/8</f>
        <v>31.314440613393565</v>
      </c>
      <c r="C10">
        <v>-36</v>
      </c>
      <c r="J10">
        <f t="shared" si="0"/>
        <v>-0.1613513514195013</v>
      </c>
      <c r="K10">
        <v>-36</v>
      </c>
      <c r="N10">
        <f t="shared" si="1"/>
        <v>-0.15421870248341166</v>
      </c>
      <c r="O10">
        <v>-36</v>
      </c>
      <c r="Q10">
        <f t="shared" si="2"/>
        <v>-7.1326489360896417E-3</v>
      </c>
    </row>
    <row r="11" spans="1:17" x14ac:dyDescent="0.25">
      <c r="B11">
        <f>('Sensor 1'!R11+'Sensor 2'!R11+'Sensor 3'!R11+'Sensor 4'!R11+'Sensor 5'!R11+'Sensor 6'!R11+'Sensor 7'!R11+'Sensor 8'!R11)/8</f>
        <v>31.342007294363796</v>
      </c>
      <c r="C11">
        <v>-27</v>
      </c>
      <c r="J11">
        <f t="shared" si="0"/>
        <v>-0.13378467044926978</v>
      </c>
      <c r="K11">
        <v>-27</v>
      </c>
      <c r="N11">
        <f t="shared" si="1"/>
        <v>-0.11566402686256015</v>
      </c>
      <c r="O11">
        <v>-27</v>
      </c>
      <c r="Q11">
        <f t="shared" si="2"/>
        <v>-1.8120643586709631E-2</v>
      </c>
    </row>
    <row r="12" spans="1:17" x14ac:dyDescent="0.25">
      <c r="B12">
        <f>('Sensor 1'!R12+'Sensor 2'!R12+'Sensor 3'!R12+'Sensor 4'!R12+'Sensor 5'!R12+'Sensor 6'!R12+'Sensor 7'!R12+'Sensor 8'!R12)/8</f>
        <v>31.381662252868075</v>
      </c>
      <c r="C12">
        <v>-18</v>
      </c>
      <c r="J12">
        <f t="shared" si="0"/>
        <v>-9.4129711944990646E-2</v>
      </c>
      <c r="K12">
        <v>-18</v>
      </c>
      <c r="N12">
        <f t="shared" si="1"/>
        <v>-7.7109351241708632E-2</v>
      </c>
      <c r="O12">
        <v>-18</v>
      </c>
      <c r="Q12">
        <f t="shared" si="2"/>
        <v>-1.7020360703282014E-2</v>
      </c>
    </row>
    <row r="13" spans="1:17" x14ac:dyDescent="0.25">
      <c r="B13">
        <f>('Sensor 1'!R13+'Sensor 2'!R13+'Sensor 3'!R13+'Sensor 4'!R13+'Sensor 5'!R13+'Sensor 6'!R13+'Sensor 7'!R13+'Sensor 8'!R13)/8</f>
        <v>31.424395841109714</v>
      </c>
      <c r="C13">
        <v>-9</v>
      </c>
      <c r="J13">
        <f t="shared" si="0"/>
        <v>-5.1396123703352004E-2</v>
      </c>
      <c r="K13">
        <v>-9</v>
      </c>
      <c r="N13">
        <f t="shared" si="1"/>
        <v>-3.8554675620857119E-2</v>
      </c>
      <c r="O13">
        <v>-9</v>
      </c>
      <c r="Q13">
        <f t="shared" si="2"/>
        <v>-1.2841448082494884E-2</v>
      </c>
    </row>
    <row r="14" spans="1:17" x14ac:dyDescent="0.25">
      <c r="B14">
        <f>('Sensor 1'!R14+'Sensor 2'!R14+'Sensor 3'!R14+'Sensor 4'!R14+'Sensor 5'!R14+'Sensor 6'!R14+'Sensor 7'!R14+'Sensor 8'!R14)/8</f>
        <v>31.496624648470274</v>
      </c>
      <c r="C14">
        <v>0</v>
      </c>
      <c r="J14">
        <f t="shared" si="0"/>
        <v>2.0832683657207696E-2</v>
      </c>
      <c r="K14">
        <v>0</v>
      </c>
      <c r="N14">
        <f t="shared" si="1"/>
        <v>-5.6066262743570405E-15</v>
      </c>
      <c r="O14">
        <v>0</v>
      </c>
      <c r="Q14">
        <f t="shared" si="2"/>
        <v>2.0832683657213302E-2</v>
      </c>
    </row>
    <row r="16" spans="1:17" x14ac:dyDescent="0.25">
      <c r="A16" t="s">
        <v>17</v>
      </c>
      <c r="B16">
        <f>AVERAGE(B3:B14)</f>
        <v>31.263741248898384</v>
      </c>
    </row>
    <row r="17" spans="2:11" x14ac:dyDescent="0.25">
      <c r="B17" t="s">
        <v>4</v>
      </c>
      <c r="C17">
        <f>SLOPE(B3:B14,C3:C14)</f>
        <v>4.2838528467612795E-3</v>
      </c>
      <c r="E17" t="s">
        <v>16</v>
      </c>
      <c r="F17">
        <f>(180 * ATAN(C17) / PI())</f>
        <v>0.24544518676133001</v>
      </c>
      <c r="J17" t="s">
        <v>4</v>
      </c>
      <c r="K17">
        <f>SLOPE(J3:J14,K3:K14)</f>
        <v>4.2838528467612795E-3</v>
      </c>
    </row>
    <row r="18" spans="2:11" x14ac:dyDescent="0.25">
      <c r="B18" t="s">
        <v>5</v>
      </c>
      <c r="C18">
        <f>INTERCEPT(B3:B14,C3:C14)</f>
        <v>31.475791964813066</v>
      </c>
      <c r="J18" t="s">
        <v>5</v>
      </c>
      <c r="K18">
        <f>INTERCEPT(J3:J14,K3:K14)</f>
        <v>-5.6066262743570405E-15</v>
      </c>
    </row>
    <row r="20" spans="2:11" x14ac:dyDescent="0.25">
      <c r="C20" t="s">
        <v>8</v>
      </c>
      <c r="D20" t="s">
        <v>8</v>
      </c>
      <c r="F20">
        <f>('Sensor 1'!V17+'Sensor 2'!$V$17+'Sensor 3'!V17+'Sensor 4'!$V$17+'Sensor 5'!V17+'Sensor 6'!V17+'Sensor 7'!V17+'Sensor 8'!V17)/8</f>
        <v>0.24544509521237021</v>
      </c>
    </row>
    <row r="24" spans="2:11" x14ac:dyDescent="0.25">
      <c r="K24" s="2"/>
    </row>
    <row r="25" spans="2:11" x14ac:dyDescent="0.25">
      <c r="K25" s="2"/>
    </row>
    <row r="26" spans="2:11" x14ac:dyDescent="0.25">
      <c r="K2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192</vt:i4>
      </vt:variant>
    </vt:vector>
  </HeadingPairs>
  <TitlesOfParts>
    <vt:vector size="202" baseType="lpstr">
      <vt:lpstr>raw_data</vt:lpstr>
      <vt:lpstr>Sensor 1</vt:lpstr>
      <vt:lpstr>Sensor 2</vt:lpstr>
      <vt:lpstr>Sensor 3</vt:lpstr>
      <vt:lpstr>Sensor 4</vt:lpstr>
      <vt:lpstr>Sensor 5</vt:lpstr>
      <vt:lpstr>Sensor 6</vt:lpstr>
      <vt:lpstr>Sensor 7</vt:lpstr>
      <vt:lpstr>Sensor 8</vt:lpstr>
      <vt:lpstr>averaged line fit</vt:lpstr>
      <vt:lpstr>x_s1_c1</vt:lpstr>
      <vt:lpstr>x_s1_c10</vt:lpstr>
      <vt:lpstr>x_s1_c11</vt:lpstr>
      <vt:lpstr>x_s1_c12</vt:lpstr>
      <vt:lpstr>x_s1_c2</vt:lpstr>
      <vt:lpstr>x_s1_c3</vt:lpstr>
      <vt:lpstr>x_s1_c4</vt:lpstr>
      <vt:lpstr>x_s1_c5</vt:lpstr>
      <vt:lpstr>x_s1_c6</vt:lpstr>
      <vt:lpstr>x_s1_c7</vt:lpstr>
      <vt:lpstr>x_s1_c8</vt:lpstr>
      <vt:lpstr>x_s1_c9</vt:lpstr>
      <vt:lpstr>x_s2_c1</vt:lpstr>
      <vt:lpstr>x_s2_c10</vt:lpstr>
      <vt:lpstr>x_s2_c11</vt:lpstr>
      <vt:lpstr>x_s2_c12</vt:lpstr>
      <vt:lpstr>x_s2_c2</vt:lpstr>
      <vt:lpstr>x_s2_c3</vt:lpstr>
      <vt:lpstr>x_s2_c4</vt:lpstr>
      <vt:lpstr>x_s2_c5</vt:lpstr>
      <vt:lpstr>x_s2_c6</vt:lpstr>
      <vt:lpstr>x_s2_c7</vt:lpstr>
      <vt:lpstr>x_s2_c8</vt:lpstr>
      <vt:lpstr>x_s2_c9</vt:lpstr>
      <vt:lpstr>x_s3_c1</vt:lpstr>
      <vt:lpstr>x_s3_c10</vt:lpstr>
      <vt:lpstr>x_s3_c11</vt:lpstr>
      <vt:lpstr>x_s3_c12</vt:lpstr>
      <vt:lpstr>x_s3_c2</vt:lpstr>
      <vt:lpstr>x_s3_c3</vt:lpstr>
      <vt:lpstr>x_s3_c4</vt:lpstr>
      <vt:lpstr>x_s3_c5</vt:lpstr>
      <vt:lpstr>x_s3_c6</vt:lpstr>
      <vt:lpstr>x_s3_c7</vt:lpstr>
      <vt:lpstr>x_s3_c8</vt:lpstr>
      <vt:lpstr>x_s3_c9</vt:lpstr>
      <vt:lpstr>x_s4_c1</vt:lpstr>
      <vt:lpstr>x_s4_c10</vt:lpstr>
      <vt:lpstr>x_s4_c11</vt:lpstr>
      <vt:lpstr>x_s4_c12</vt:lpstr>
      <vt:lpstr>x_s4_c2</vt:lpstr>
      <vt:lpstr>x_s4_c3</vt:lpstr>
      <vt:lpstr>x_s4_c4</vt:lpstr>
      <vt:lpstr>x_s4_c5</vt:lpstr>
      <vt:lpstr>x_s4_c6</vt:lpstr>
      <vt:lpstr>x_s4_c7</vt:lpstr>
      <vt:lpstr>x_s4_c8</vt:lpstr>
      <vt:lpstr>x_s4_c9</vt:lpstr>
      <vt:lpstr>x_s5_c1</vt:lpstr>
      <vt:lpstr>x_s5_c10</vt:lpstr>
      <vt:lpstr>x_s5_c11</vt:lpstr>
      <vt:lpstr>x_s5_c12</vt:lpstr>
      <vt:lpstr>x_s5_c2</vt:lpstr>
      <vt:lpstr>x_s5_c3</vt:lpstr>
      <vt:lpstr>x_s5_c4</vt:lpstr>
      <vt:lpstr>x_s5_c5</vt:lpstr>
      <vt:lpstr>x_s5_c6</vt:lpstr>
      <vt:lpstr>x_s5_c7</vt:lpstr>
      <vt:lpstr>x_s5_c8</vt:lpstr>
      <vt:lpstr>x_s5_c9</vt:lpstr>
      <vt:lpstr>x_s6_c1</vt:lpstr>
      <vt:lpstr>x_s6_c10</vt:lpstr>
      <vt:lpstr>x_s6_c11</vt:lpstr>
      <vt:lpstr>x_s6_c12</vt:lpstr>
      <vt:lpstr>x_s6_c2</vt:lpstr>
      <vt:lpstr>x_s6_c3</vt:lpstr>
      <vt:lpstr>x_s6_c4</vt:lpstr>
      <vt:lpstr>x_s6_c5</vt:lpstr>
      <vt:lpstr>x_s6_c6</vt:lpstr>
      <vt:lpstr>x_s6_c7</vt:lpstr>
      <vt:lpstr>x_s6_c8</vt:lpstr>
      <vt:lpstr>x_s6_c9</vt:lpstr>
      <vt:lpstr>x_s7_c1</vt:lpstr>
      <vt:lpstr>x_s7_c10</vt:lpstr>
      <vt:lpstr>x_s7_c11</vt:lpstr>
      <vt:lpstr>x_s7_c12</vt:lpstr>
      <vt:lpstr>x_s7_c2</vt:lpstr>
      <vt:lpstr>x_s7_c3</vt:lpstr>
      <vt:lpstr>x_s7_c4</vt:lpstr>
      <vt:lpstr>x_s7_c5</vt:lpstr>
      <vt:lpstr>x_s7_c6</vt:lpstr>
      <vt:lpstr>x_s7_c7</vt:lpstr>
      <vt:lpstr>x_s7_c8</vt:lpstr>
      <vt:lpstr>x_s7_c9</vt:lpstr>
      <vt:lpstr>x_s8_c1</vt:lpstr>
      <vt:lpstr>x_s8_c10</vt:lpstr>
      <vt:lpstr>x_s8_c11</vt:lpstr>
      <vt:lpstr>x_s8_c12</vt:lpstr>
      <vt:lpstr>x_s8_c2</vt:lpstr>
      <vt:lpstr>x_s8_c3</vt:lpstr>
      <vt:lpstr>x_s8_c4</vt:lpstr>
      <vt:lpstr>x_s8_c5</vt:lpstr>
      <vt:lpstr>x_s8_c6</vt:lpstr>
      <vt:lpstr>x_s8_c7</vt:lpstr>
      <vt:lpstr>x_s8_c8</vt:lpstr>
      <vt:lpstr>x_s8_c9</vt:lpstr>
      <vt:lpstr>y_s1_c1</vt:lpstr>
      <vt:lpstr>y_s1_c10</vt:lpstr>
      <vt:lpstr>y_s1_c11</vt:lpstr>
      <vt:lpstr>y_s1_c12</vt:lpstr>
      <vt:lpstr>y_s1_c2</vt:lpstr>
      <vt:lpstr>y_s1_c3</vt:lpstr>
      <vt:lpstr>y_s1_c4</vt:lpstr>
      <vt:lpstr>y_s1_c5</vt:lpstr>
      <vt:lpstr>y_s1_c6</vt:lpstr>
      <vt:lpstr>y_s1_c7</vt:lpstr>
      <vt:lpstr>y_s1_c8</vt:lpstr>
      <vt:lpstr>y_s1_c9</vt:lpstr>
      <vt:lpstr>y_s2_c1</vt:lpstr>
      <vt:lpstr>y_s2_c10</vt:lpstr>
      <vt:lpstr>y_s2_c11</vt:lpstr>
      <vt:lpstr>y_s2_c12</vt:lpstr>
      <vt:lpstr>y_s2_c2</vt:lpstr>
      <vt:lpstr>y_s2_c3</vt:lpstr>
      <vt:lpstr>y_s2_c4</vt:lpstr>
      <vt:lpstr>y_s2_c5</vt:lpstr>
      <vt:lpstr>y_s2_c6</vt:lpstr>
      <vt:lpstr>y_s2_c7</vt:lpstr>
      <vt:lpstr>y_s2_c8</vt:lpstr>
      <vt:lpstr>y_s2_c9</vt:lpstr>
      <vt:lpstr>y_s3_c1</vt:lpstr>
      <vt:lpstr>y_s3_c10</vt:lpstr>
      <vt:lpstr>y_s3_c11</vt:lpstr>
      <vt:lpstr>y_s3_c12</vt:lpstr>
      <vt:lpstr>y_s3_c2</vt:lpstr>
      <vt:lpstr>y_s3_c3</vt:lpstr>
      <vt:lpstr>y_s3_c4</vt:lpstr>
      <vt:lpstr>y_s3_c5</vt:lpstr>
      <vt:lpstr>y_s3_c6</vt:lpstr>
      <vt:lpstr>y_s3_c7</vt:lpstr>
      <vt:lpstr>y_s3_c8</vt:lpstr>
      <vt:lpstr>y_s3_c9</vt:lpstr>
      <vt:lpstr>y_s4_c1</vt:lpstr>
      <vt:lpstr>y_s4_c10</vt:lpstr>
      <vt:lpstr>y_s4_c11</vt:lpstr>
      <vt:lpstr>y_s4_c12</vt:lpstr>
      <vt:lpstr>y_s4_c2</vt:lpstr>
      <vt:lpstr>y_s4_c3</vt:lpstr>
      <vt:lpstr>y_s4_c4</vt:lpstr>
      <vt:lpstr>y_s4_c5</vt:lpstr>
      <vt:lpstr>y_s4_c6</vt:lpstr>
      <vt:lpstr>y_s4_c7</vt:lpstr>
      <vt:lpstr>y_s4_c8</vt:lpstr>
      <vt:lpstr>y_s4_c9</vt:lpstr>
      <vt:lpstr>y_s5_c1</vt:lpstr>
      <vt:lpstr>y_s5_c10</vt:lpstr>
      <vt:lpstr>y_s5_c11</vt:lpstr>
      <vt:lpstr>y_s5_c12</vt:lpstr>
      <vt:lpstr>y_s5_c2</vt:lpstr>
      <vt:lpstr>y_s5_c3</vt:lpstr>
      <vt:lpstr>y_s5_c4</vt:lpstr>
      <vt:lpstr>y_s5_c5</vt:lpstr>
      <vt:lpstr>y_s5_c6</vt:lpstr>
      <vt:lpstr>y_s5_c7</vt:lpstr>
      <vt:lpstr>y_s5_c8</vt:lpstr>
      <vt:lpstr>y_s5_c9</vt:lpstr>
      <vt:lpstr>y_s6_c1</vt:lpstr>
      <vt:lpstr>y_s6_c10</vt:lpstr>
      <vt:lpstr>y_s6_c11</vt:lpstr>
      <vt:lpstr>y_s6_c12</vt:lpstr>
      <vt:lpstr>y_s6_c2</vt:lpstr>
      <vt:lpstr>y_s6_c3</vt:lpstr>
      <vt:lpstr>y_s6_c4</vt:lpstr>
      <vt:lpstr>y_s6_c5</vt:lpstr>
      <vt:lpstr>y_s6_c6</vt:lpstr>
      <vt:lpstr>y_s6_c7</vt:lpstr>
      <vt:lpstr>y_s6_c8</vt:lpstr>
      <vt:lpstr>y_s6_c9</vt:lpstr>
      <vt:lpstr>y_s7_c1</vt:lpstr>
      <vt:lpstr>y_s7_c10</vt:lpstr>
      <vt:lpstr>y_s7_c11</vt:lpstr>
      <vt:lpstr>y_s7_c12</vt:lpstr>
      <vt:lpstr>y_s7_c2</vt:lpstr>
      <vt:lpstr>y_s7_c3</vt:lpstr>
      <vt:lpstr>y_s7_c4</vt:lpstr>
      <vt:lpstr>y_s7_c5</vt:lpstr>
      <vt:lpstr>y_s7_c6</vt:lpstr>
      <vt:lpstr>y_s7_c7</vt:lpstr>
      <vt:lpstr>y_s7_c8</vt:lpstr>
      <vt:lpstr>y_s7_c9</vt:lpstr>
      <vt:lpstr>y_s8_c1</vt:lpstr>
      <vt:lpstr>y_s8_c10</vt:lpstr>
      <vt:lpstr>y_s8_c11</vt:lpstr>
      <vt:lpstr>y_s8_c12</vt:lpstr>
      <vt:lpstr>y_s8_c2</vt:lpstr>
      <vt:lpstr>y_s8_c3</vt:lpstr>
      <vt:lpstr>y_s8_c4</vt:lpstr>
      <vt:lpstr>y_s8_c5</vt:lpstr>
      <vt:lpstr>y_s8_c6</vt:lpstr>
      <vt:lpstr>y_s8_c7</vt:lpstr>
      <vt:lpstr>y_s8_c8</vt:lpstr>
      <vt:lpstr>y_s8_c9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Biddison</dc:creator>
  <cp:lastModifiedBy>Giles Biddison</cp:lastModifiedBy>
  <dcterms:created xsi:type="dcterms:W3CDTF">2011-10-25T16:15:56Z</dcterms:created>
  <dcterms:modified xsi:type="dcterms:W3CDTF">2011-10-27T22:10:18Z</dcterms:modified>
</cp:coreProperties>
</file>